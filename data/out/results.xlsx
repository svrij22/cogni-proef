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All data" sheetId="1" state="visible" r:id="rId1"/>
    <sheet xmlns:r="http://schemas.openxmlformats.org/officeDocument/2006/relationships" name="By person" sheetId="2" state="visible" r:id="rId2"/>
    <sheet xmlns:r="http://schemas.openxmlformats.org/officeDocument/2006/relationships" name="Results" sheetId="3" state="visible" r:id="rId3"/>
    <sheet xmlns:r="http://schemas.openxmlformats.org/officeDocument/2006/relationships" name="Accuracy" sheetId="4" state="visible" r:id="rId4"/>
    <sheet xmlns:r="http://schemas.openxmlformats.org/officeDocument/2006/relationships" name="Response time" sheetId="5" state="visible" r:id="rId5"/>
    <sheet xmlns:r="http://schemas.openxmlformats.org/officeDocument/2006/relationships" name="Silence" sheetId="6" state="visible" r:id="rId6"/>
  </sheets>
  <definedNames>
    <definedName name="Names">'All data'!$B$2:$B$479</definedName>
    <definedName name="Cond">'All data'!$P$2:$P$479</definedName>
    <definedName name="CorrectN">'All data'!$Q$2:$Q$479</definedName>
    <definedName name="RtN">'All data'!$R$2:$R$479</definedName>
    <definedName name="AbsN">'All data'!$S$2:$S$479</definedName>
    <definedName name="Scored">'All data'!$T$2:$T$479</definedName>
    <definedName name="_xlnm._FilterDatabase" localSheetId="0" hidden="1">'All data'!$A$1:$T$479</definedName>
    <definedName name="_xlnm.Print_Titles" localSheetId="0">'All data'!$1:$1</definedName>
    <definedName name="_xlnm._FilterDatabase" localSheetId="1" hidden="1">'By person'!$A$3:$W$32</definedName>
    <definedName name="_xlnm.Print_Titles" localSheetId="1">'By person'!$1:$3</definedName>
    <definedName name="_xlnm.Print_Titles" localSheetId="2">'Results'!$1:$2</definedName>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0%;0.0%"/>
    <numFmt numFmtId="167" formatCode="+#,##0;-#,##0;0"/>
    <numFmt numFmtId="168" formatCode="+0.00;-0.00;0.00"/>
    <numFmt numFmtId="169" formatCode="0.000"/>
  </numFmts>
  <fonts count="13">
    <font>
      <name val="Calibri"/>
      <family val="2"/>
      <color theme="1"/>
      <sz val="11"/>
      <scheme val="minor"/>
    </font>
    <font>
      <name val="Arial"/>
      <b val="1"/>
      <color rgb="00FFFFFF"/>
      <sz val="9"/>
    </font>
    <font>
      <name val="Arial"/>
      <color rgb="001C2428"/>
      <sz val="9"/>
    </font>
    <font>
      <name val="Arial"/>
      <color rgb="0024485F"/>
      <sz val="9"/>
    </font>
    <font>
      <name val="Arial"/>
      <b val="1"/>
      <color rgb="00FFFFFF"/>
      <sz val="18"/>
    </font>
    <font>
      <name val="Arial"/>
      <color rgb="00FFFFFF"/>
      <sz val="10"/>
    </font>
    <font>
      <name val="Arial"/>
      <b val="1"/>
      <color rgb="001C2428"/>
      <sz val="10"/>
    </font>
    <font>
      <name val="Arial"/>
      <color rgb="001C2428"/>
      <sz val="10"/>
    </font>
    <font>
      <name val="Arial"/>
      <b val="1"/>
      <color rgb="001B3A4B"/>
      <sz val="12"/>
    </font>
    <font>
      <name val="Arial"/>
      <b val="1"/>
      <color rgb="001C2428"/>
      <sz val="14"/>
    </font>
    <font>
      <name val="Arial"/>
      <color rgb="005E6A71"/>
      <sz val="10"/>
    </font>
    <font>
      <name val="Arial"/>
      <color rgb="005E6A71"/>
      <sz val="9"/>
    </font>
    <font>
      <name val="Arial"/>
      <color rgb="005E6A71"/>
      <sz val="8"/>
    </font>
  </fonts>
  <fills count="9">
    <fill>
      <patternFill/>
    </fill>
    <fill>
      <patternFill patternType="gray125"/>
    </fill>
    <fill>
      <patternFill patternType="solid">
        <fgColor rgb="001B3A4B"/>
      </patternFill>
    </fill>
    <fill>
      <patternFill patternType="solid">
        <fgColor rgb="003E5C73"/>
      </patternFill>
    </fill>
    <fill>
      <patternFill patternType="solid">
        <fgColor rgb="00F4F7F8"/>
      </patternFill>
    </fill>
    <fill>
      <patternFill patternType="solid">
        <fgColor rgb="00E7EEF4"/>
      </patternFill>
    </fill>
    <fill>
      <patternFill patternType="solid">
        <fgColor rgb="00FFFFFF"/>
      </patternFill>
    </fill>
    <fill>
      <patternFill patternType="solid">
        <fgColor rgb="00245068"/>
      </patternFill>
    </fill>
    <fill>
      <patternFill patternType="solid">
        <fgColor rgb="00F4EBD6"/>
      </patternFill>
    </fill>
  </fills>
  <borders count="2">
    <border>
      <left/>
      <right/>
      <top/>
      <bottom/>
      <diagonal/>
    </border>
    <border>
      <left style="thin">
        <color rgb="00D5DEE4"/>
      </left>
      <right style="thin">
        <color rgb="00D5DEE4"/>
      </right>
      <top style="thin">
        <color rgb="00D5DEE4"/>
      </top>
      <bottom style="thin">
        <color rgb="00D5DEE4"/>
      </bottom>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164" fontId="2" fillId="4" borderId="1" applyAlignment="1" pivotButton="0" quotePrefix="0" xfId="0">
      <alignment horizontal="center" vertical="center" wrapText="1"/>
    </xf>
    <xf numFmtId="0" fontId="3" fillId="5" borderId="1" applyAlignment="1" pivotButton="0" quotePrefix="0" xfId="0">
      <alignment horizontal="center" vertical="center" wrapText="1"/>
    </xf>
    <xf numFmtId="3" fontId="3"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164" fontId="2" fillId="6" borderId="1" applyAlignment="1" pivotButton="0" quotePrefix="0" xfId="0">
      <alignment horizontal="center" vertical="center" wrapText="1"/>
    </xf>
    <xf numFmtId="0" fontId="4" fillId="2" borderId="0" applyAlignment="1" pivotButton="0" quotePrefix="0" xfId="0">
      <alignment horizontal="left" vertical="center" indent="1"/>
    </xf>
    <xf numFmtId="0" fontId="0" fillId="2" borderId="0" pivotButton="0" quotePrefix="0" xfId="0"/>
    <xf numFmtId="0" fontId="5" fillId="7" borderId="0" applyAlignment="1" pivotButton="0" quotePrefix="0" xfId="0">
      <alignment horizontal="left" vertical="center" indent="1"/>
    </xf>
    <xf numFmtId="0" fontId="0" fillId="7" borderId="0" pivotButton="0" quotePrefix="0" xfId="0"/>
    <xf numFmtId="0" fontId="6" fillId="6" borderId="1" applyAlignment="1" pivotButton="0" quotePrefix="0" xfId="0">
      <alignment horizontal="left" vertical="center" wrapText="1"/>
    </xf>
    <xf numFmtId="1" fontId="7" fillId="6" borderId="1" applyAlignment="1" pivotButton="0" quotePrefix="0" xfId="0">
      <alignment horizontal="center" vertical="center" wrapText="1"/>
    </xf>
    <xf numFmtId="165" fontId="7" fillId="6" borderId="1" applyAlignment="1" pivotButton="0" quotePrefix="0" xfId="0">
      <alignment horizontal="center" vertical="center" wrapText="1"/>
    </xf>
    <xf numFmtId="166" fontId="7" fillId="6" borderId="1" applyAlignment="1" pivotButton="0" quotePrefix="0" xfId="0">
      <alignment horizontal="center" vertical="center" wrapText="1"/>
    </xf>
    <xf numFmtId="3" fontId="7" fillId="6" borderId="1" applyAlignment="1" pivotButton="0" quotePrefix="0" xfId="0">
      <alignment horizontal="center" vertical="center" wrapText="1"/>
    </xf>
    <xf numFmtId="167" fontId="7" fillId="6" borderId="1" applyAlignment="1" pivotButton="0" quotePrefix="0" xfId="0">
      <alignment horizontal="center" vertical="center" wrapText="1"/>
    </xf>
    <xf numFmtId="2" fontId="7" fillId="6" borderId="1" applyAlignment="1" pivotButton="0" quotePrefix="0" xfId="0">
      <alignment horizontal="center" vertical="center" wrapText="1"/>
    </xf>
    <xf numFmtId="168" fontId="7" fillId="6" borderId="1" applyAlignment="1" pivotButton="0" quotePrefix="0" xfId="0">
      <alignment horizontal="center" vertical="center" wrapText="1"/>
    </xf>
    <xf numFmtId="0" fontId="6" fillId="4" borderId="1" applyAlignment="1" pivotButton="0" quotePrefix="0" xfId="0">
      <alignment horizontal="left" vertical="center" wrapText="1"/>
    </xf>
    <xf numFmtId="1" fontId="7" fillId="4" borderId="1" applyAlignment="1" pivotButton="0" quotePrefix="0" xfId="0">
      <alignment horizontal="center" vertical="center" wrapText="1"/>
    </xf>
    <xf numFmtId="165" fontId="7" fillId="4" borderId="1" applyAlignment="1" pivotButton="0" quotePrefix="0" xfId="0">
      <alignment horizontal="center" vertical="center" wrapText="1"/>
    </xf>
    <xf numFmtId="166" fontId="7" fillId="4" borderId="1" applyAlignment="1" pivotButton="0" quotePrefix="0" xfId="0">
      <alignment horizontal="center" vertical="center" wrapText="1"/>
    </xf>
    <xf numFmtId="3" fontId="7" fillId="4" borderId="1" applyAlignment="1" pivotButton="0" quotePrefix="0" xfId="0">
      <alignment horizontal="center" vertical="center" wrapText="1"/>
    </xf>
    <xf numFmtId="167" fontId="7" fillId="4" borderId="1" applyAlignment="1" pivotButton="0" quotePrefix="0" xfId="0">
      <alignment horizontal="center" vertical="center" wrapText="1"/>
    </xf>
    <xf numFmtId="2" fontId="7" fillId="4" borderId="1" applyAlignment="1" pivotButton="0" quotePrefix="0" xfId="0">
      <alignment horizontal="center" vertical="center" wrapText="1"/>
    </xf>
    <xf numFmtId="168" fontId="7" fillId="4" borderId="1" applyAlignment="1" pivotButton="0" quotePrefix="0" xfId="0">
      <alignment horizontal="center" vertical="center" wrapText="1"/>
    </xf>
    <xf numFmtId="0" fontId="8" fillId="0" borderId="0" applyAlignment="1" pivotButton="0" quotePrefix="0" xfId="0">
      <alignment horizontal="left" vertical="center"/>
    </xf>
    <xf numFmtId="1" fontId="9"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6" borderId="1" applyAlignment="1" pivotButton="0" quotePrefix="0" xfId="0">
      <alignment horizontal="left" vertical="center" wrapText="1"/>
    </xf>
    <xf numFmtId="0" fontId="6" fillId="8" borderId="1" applyAlignment="1" pivotButton="0" quotePrefix="0" xfId="0">
      <alignment horizontal="left" vertical="center" wrapText="1"/>
    </xf>
    <xf numFmtId="166" fontId="6" fillId="8" borderId="1" applyAlignment="1" pivotButton="0" quotePrefix="0" xfId="0">
      <alignment horizontal="center" vertical="center" wrapText="1"/>
    </xf>
    <xf numFmtId="167" fontId="6" fillId="8" borderId="1" applyAlignment="1" pivotButton="0" quotePrefix="0" xfId="0">
      <alignment horizontal="center" vertical="center" wrapText="1"/>
    </xf>
    <xf numFmtId="168" fontId="6" fillId="8" borderId="1" applyAlignment="1" pivotButton="0" quotePrefix="0" xfId="0">
      <alignment horizontal="center" vertical="center" wrapText="1"/>
    </xf>
    <xf numFmtId="169" fontId="7" fillId="6" borderId="1" applyAlignment="1" pivotButton="0" quotePrefix="0" xfId="0">
      <alignment horizontal="center" vertical="center" wrapText="1"/>
    </xf>
    <xf numFmtId="169" fontId="7"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0" borderId="0" applyAlignment="1" pivotButton="0" quotePrefix="0" xfId="0">
      <alignment horizontal="left" vertical="center" wrapText="1"/>
    </xf>
    <xf numFmtId="165" fontId="9" fillId="6" borderId="1" applyAlignment="1" pivotButton="0" quotePrefix="0" xfId="0">
      <alignment horizontal="center" vertical="center" wrapText="1"/>
    </xf>
    <xf numFmtId="165" fontId="9" fillId="4" borderId="1" applyAlignment="1" pivotButton="0" quotePrefix="0" xfId="0">
      <alignment horizontal="center" vertical="center" wrapText="1"/>
    </xf>
    <xf numFmtId="0" fontId="12" fillId="0" borderId="0" applyAlignment="1" pivotButton="0" quotePrefix="0" xfId="0">
      <alignment vertical="center" wrapText="1"/>
    </xf>
    <xf numFmtId="3" fontId="9" fillId="6" borderId="1" applyAlignment="1" pivotButton="0" quotePrefix="0" xfId="0">
      <alignment horizontal="center" vertical="center" wrapText="1"/>
    </xf>
    <xf numFmtId="3" fontId="9" fillId="4" borderId="1" applyAlignment="1" pivotButton="0" quotePrefix="0" xfId="0">
      <alignment horizontal="center" vertical="center" wrapText="1"/>
    </xf>
  </cellXfs>
  <cellStyles count="1">
    <cellStyle name="Normal" xfId="0" builtinId="0" hidden="0"/>
  </cellStyles>
  <dxfs count="3">
    <dxf>
      <fill>
        <patternFill patternType="solid">
          <fgColor rgb="00F8E8E6"/>
        </patternFill>
      </fill>
    </dxf>
    <dxf>
      <fill>
        <patternFill patternType="solid">
          <fgColor rgb="00E5F2EA"/>
        </patternFill>
      </fill>
    </dxf>
    <dxf>
      <font>
        <name val="Arial"/>
        <b val="1"/>
        <color rgb="001F6B4A"/>
        <sz val="10"/>
      </font>
      <fill>
        <patternFill patternType="solid">
          <fgColor rgb="00E5F2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Mean proportion correct</a:t>
            </a:r>
          </a:p>
        </rich>
      </tx>
    </title>
    <plotArea>
      <barChart>
        <barDir val="col"/>
        <grouping val="clustered"/>
        <ser>
          <idx val="0"/>
          <order val="0"/>
          <tx>
            <strRef>
              <f>'Accuracy'!B4</f>
            </strRef>
          </tx>
          <spPr>
            <a:ln xmlns:a="http://schemas.openxmlformats.org/drawingml/2006/main">
              <a:prstDash val="solid"/>
            </a:ln>
          </spPr>
          <dPt>
            <idx val="0"/>
            <spPr>
              <a:solidFill xmlns:a="http://schemas.openxmlformats.org/drawingml/2006/main">
                <a:srgbClr val="1F4E79"/>
              </a:solidFill>
              <a:ln xmlns:a="http://schemas.openxmlformats.org/drawingml/2006/main">
                <a:prstDash val="solid"/>
              </a:ln>
            </spPr>
          </dPt>
          <dPt>
            <idx val="1"/>
            <spPr>
              <a:solidFill xmlns:a="http://schemas.openxmlformats.org/drawingml/2006/main">
                <a:srgbClr val="3D7A5A"/>
              </a:solidFill>
              <a:ln xmlns:a="http://schemas.openxmlformats.org/drawingml/2006/main">
                <a:prstDash val="solid"/>
              </a:ln>
            </spPr>
          </dPt>
          <cat>
            <numRef>
              <f>'Accuracy'!$A$5:$A$6</f>
            </numRef>
          </cat>
          <val>
            <numRef>
              <f>'Accuracy'!$B$5:$B$6</f>
            </numRef>
          </val>
        </ser>
        <dLbls>
          <numFmt formatCode="0.0%"/>
          <showVal val="1"/>
        </dLbls>
        <gapWidth val="70"/>
        <axId val="10"/>
        <axId val="100"/>
      </barChart>
      <catAx>
        <axId val="10"/>
        <scaling>
          <orientation val="minMax"/>
        </scaling>
        <axPos val="l"/>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Proportion correct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Each person's accuracy difference</a:t>
            </a:r>
          </a:p>
        </rich>
      </tx>
    </title>
    <plotArea>
      <barChart>
        <barDir val="bar"/>
        <grouping val="clustered"/>
        <ser>
          <idx val="0"/>
          <order val="0"/>
          <tx>
            <strRef>
              <f>'Accuracy'!B19</f>
            </strRef>
          </tx>
          <spPr>
            <a:solidFill xmlns:a="http://schemas.openxmlformats.org/drawingml/2006/main">
              <a:srgbClr val="1F4E79"/>
            </a:solidFill>
            <a:ln xmlns:a="http://schemas.openxmlformats.org/drawingml/2006/main">
              <a:prstDash val="solid"/>
            </a:ln>
          </spPr>
          <cat>
            <numRef>
              <f>'Accuracy'!$A$20:$A$48</f>
            </numRef>
          </cat>
          <val>
            <numRef>
              <f>'Accuracy'!$B$20:$B$48</f>
            </numRef>
          </val>
        </ser>
        <gapWidth val="70"/>
        <axId val="10"/>
        <axId val="100"/>
      </barChart>
      <catAx>
        <axId val="10"/>
        <scaling>
          <orientation val="maxMin"/>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Lyrics minus instrumental (proportion)</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Mean response time</a:t>
            </a:r>
          </a:p>
        </rich>
      </tx>
    </title>
    <plotArea>
      <barChart>
        <barDir val="col"/>
        <grouping val="clustered"/>
        <ser>
          <idx val="0"/>
          <order val="0"/>
          <tx>
            <strRef>
              <f>'Response time'!B4</f>
            </strRef>
          </tx>
          <spPr>
            <a:ln xmlns:a="http://schemas.openxmlformats.org/drawingml/2006/main">
              <a:prstDash val="solid"/>
            </a:ln>
          </spPr>
          <dPt>
            <idx val="0"/>
            <spPr>
              <a:solidFill xmlns:a="http://schemas.openxmlformats.org/drawingml/2006/main">
                <a:srgbClr val="1F4E79"/>
              </a:solidFill>
              <a:ln xmlns:a="http://schemas.openxmlformats.org/drawingml/2006/main">
                <a:prstDash val="solid"/>
              </a:ln>
            </spPr>
          </dPt>
          <dPt>
            <idx val="1"/>
            <spPr>
              <a:solidFill xmlns:a="http://schemas.openxmlformats.org/drawingml/2006/main">
                <a:srgbClr val="3D7A5A"/>
              </a:solidFill>
              <a:ln xmlns:a="http://schemas.openxmlformats.org/drawingml/2006/main">
                <a:prstDash val="solid"/>
              </a:ln>
            </spPr>
          </dPt>
          <cat>
            <numRef>
              <f>'Response time'!$A$5:$A$6</f>
            </numRef>
          </cat>
          <val>
            <numRef>
              <f>'Response time'!$B$5:$B$6</f>
            </numRef>
          </val>
        </ser>
        <dLbls>
          <numFmt formatCode="#,##0"/>
          <showVal val="1"/>
        </dLbls>
        <gapWidth val="7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Milliseconds</a:t>
                </a:r>
              </a:p>
            </rich>
          </tx>
        </title>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Each person's time difference</a:t>
            </a:r>
          </a:p>
        </rich>
      </tx>
    </title>
    <plotArea>
      <barChart>
        <barDir val="bar"/>
        <grouping val="clustered"/>
        <ser>
          <idx val="0"/>
          <order val="0"/>
          <tx>
            <strRef>
              <f>'Response time'!B19</f>
            </strRef>
          </tx>
          <spPr>
            <a:solidFill xmlns:a="http://schemas.openxmlformats.org/drawingml/2006/main">
              <a:srgbClr val="1F4E79"/>
            </a:solidFill>
            <a:ln xmlns:a="http://schemas.openxmlformats.org/drawingml/2006/main">
              <a:prstDash val="solid"/>
            </a:ln>
          </spPr>
          <cat>
            <numRef>
              <f>'Response time'!$A$20:$A$48</f>
            </numRef>
          </cat>
          <val>
            <numRef>
              <f>'Response time'!$B$20:$B$48</f>
            </numRef>
          </val>
        </ser>
        <gapWidth val="70"/>
        <axId val="10"/>
        <axId val="100"/>
      </barChart>
      <catAx>
        <axId val="10"/>
        <scaling>
          <orientation val="maxMin"/>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Lyrics minus instrumental (ms)</a:t>
                </a:r>
              </a:p>
            </rich>
          </tx>
        </title>
        <numFmt formatCode="#,##0" sourceLinked="0"/>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Proportion correct in the silence group</a:t>
            </a:r>
          </a:p>
        </rich>
      </tx>
    </title>
    <plotArea>
      <barChart>
        <barDir val="col"/>
        <grouping val="clustered"/>
        <ser>
          <idx val="0"/>
          <order val="0"/>
          <tx>
            <strRef>
              <f>'Silence'!B4</f>
            </strRef>
          </tx>
          <spPr>
            <a:ln xmlns:a="http://schemas.openxmlformats.org/drawingml/2006/main">
              <a:prstDash val="solid"/>
            </a:ln>
          </spPr>
          <dPt>
            <idx val="0"/>
            <spPr>
              <a:solidFill xmlns:a="http://schemas.openxmlformats.org/drawingml/2006/main">
                <a:srgbClr val="6E767C"/>
              </a:solidFill>
              <a:ln xmlns:a="http://schemas.openxmlformats.org/drawingml/2006/main">
                <a:prstDash val="solid"/>
              </a:ln>
            </spPr>
          </dPt>
          <dPt>
            <idx val="1"/>
            <spPr>
              <a:solidFill xmlns:a="http://schemas.openxmlformats.org/drawingml/2006/main">
                <a:srgbClr val="3D7A5A"/>
              </a:solidFill>
              <a:ln xmlns:a="http://schemas.openxmlformats.org/drawingml/2006/main">
                <a:prstDash val="solid"/>
              </a:ln>
            </spPr>
          </dPt>
          <dPt>
            <idx val="2"/>
            <spPr>
              <a:solidFill xmlns:a="http://schemas.openxmlformats.org/drawingml/2006/main">
                <a:srgbClr val="1F4E79"/>
              </a:solidFill>
              <a:ln xmlns:a="http://schemas.openxmlformats.org/drawingml/2006/main">
                <a:prstDash val="solid"/>
              </a:ln>
            </spPr>
          </dPt>
          <cat>
            <numRef>
              <f>'Silence'!$A$5:$A$7</f>
            </numRef>
          </cat>
          <val>
            <numRef>
              <f>'Silence'!$B$5:$B$7</f>
            </numRef>
          </val>
        </ser>
        <dLbls>
          <numFmt formatCode="0.0%"/>
          <showVal val="1"/>
        </dLbls>
        <gapWidth val="70"/>
        <axId val="10"/>
        <axId val="100"/>
      </barChart>
      <catAx>
        <axId val="10"/>
        <scaling>
          <orientation val="minMax"/>
        </scaling>
        <axPos val="l"/>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Proportion correct</a:t>
                </a:r>
              </a:p>
            </rich>
          </tx>
        </title>
        <numFmt formatCode="0%" sourceLinked="0"/>
        <majorTickMark val="none"/>
        <minorTickMark val="none"/>
        <crossAx val="10"/>
      </valAx>
    </plotArea>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Response time in the silence group</a:t>
            </a:r>
          </a:p>
        </rich>
      </tx>
    </title>
    <plotArea>
      <barChart>
        <barDir val="col"/>
        <grouping val="clustered"/>
        <ser>
          <idx val="0"/>
          <order val="0"/>
          <tx>
            <strRef>
              <f>'Silence'!C4</f>
            </strRef>
          </tx>
          <spPr>
            <a:ln xmlns:a="http://schemas.openxmlformats.org/drawingml/2006/main">
              <a:prstDash val="solid"/>
            </a:ln>
          </spPr>
          <dPt>
            <idx val="0"/>
            <spPr>
              <a:solidFill xmlns:a="http://schemas.openxmlformats.org/drawingml/2006/main">
                <a:srgbClr val="6E767C"/>
              </a:solidFill>
              <a:ln xmlns:a="http://schemas.openxmlformats.org/drawingml/2006/main">
                <a:prstDash val="solid"/>
              </a:ln>
            </spPr>
          </dPt>
          <dPt>
            <idx val="1"/>
            <spPr>
              <a:solidFill xmlns:a="http://schemas.openxmlformats.org/drawingml/2006/main">
                <a:srgbClr val="3D7A5A"/>
              </a:solidFill>
              <a:ln xmlns:a="http://schemas.openxmlformats.org/drawingml/2006/main">
                <a:prstDash val="solid"/>
              </a:ln>
            </spPr>
          </dPt>
          <dPt>
            <idx val="2"/>
            <spPr>
              <a:solidFill xmlns:a="http://schemas.openxmlformats.org/drawingml/2006/main">
                <a:srgbClr val="1F4E79"/>
              </a:solidFill>
              <a:ln xmlns:a="http://schemas.openxmlformats.org/drawingml/2006/main">
                <a:prstDash val="solid"/>
              </a:ln>
            </spPr>
          </dPt>
          <cat>
            <numRef>
              <f>'Silence'!$A$5:$A$7</f>
            </numRef>
          </cat>
          <val>
            <numRef>
              <f>'Silence'!$C$5:$C$7</f>
            </numRef>
          </val>
        </ser>
        <dLbls>
          <numFmt formatCode="#,##0"/>
          <showVal val="1"/>
        </dLbls>
        <gapWidth val="7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Milliseconds</a:t>
                </a:r>
              </a:p>
            </rich>
          </tx>
        </title>
        <numFmt formatCode="#,##0" sourceLinked="0"/>
        <majorTickMark val="none"/>
        <minorTickMark val="none"/>
        <crossAx val="10"/>
      </valAx>
    </plotArea>
    <plotVisOnly val="1"/>
    <dispBlanksAs val="gap"/>
  </chart>
</chartSpace>
</file>

<file path=xl/comments/comment1.xml><?xml version="1.0" encoding="utf-8"?>
<comments xmlns="http://schemas.openxmlformats.org/spreadsheetml/2006/main">
  <authors>
    <author>results</author>
  </authors>
  <commentList>
    <comment ref="P1" authorId="0" shapeId="0">
      <text>
        <t>Calculated. Lyrics is folded into lyrics. These columns feed the other sheets.</t>
      </text>
    </comment>
    <comment ref="T1" authorId="0" shapeId="0">
      <text>
        <t>1 when the trial enters the tests. Music trials always do. Silence does only when that person has at least three silence trials, so the two practice sums stay out.</t>
      </text>
    </comment>
  </commentList>
</comments>
</file>

<file path=xl/comments/comment2.xml><?xml version="1.0" encoding="utf-8"?>
<comments xmlns="http://schemas.openxmlformats.org/spreadsheetml/2006/main">
  <authors>
    <author>results</author>
  </authors>
  <commentList>
    <comment ref="H3" authorId="0" shapeId="0">
      <text>
        <t>Lyrics minus instrumental. Negative means fewer correct sums with lyrics.</t>
      </text>
    </comment>
  </commentList>
</comments>
</file>

<file path=xl/comments/comment3.xml><?xml version="1.0" encoding="utf-8"?>
<comments xmlns="http://schemas.openxmlformats.org/spreadsheetml/2006/main">
  <authors>
    <author>results</author>
  </authors>
  <commentList>
    <comment ref="B18" authorId="0" shapeId="0">
      <text>
        <t>Lower-tail probability. It matches the hypothesis that the proportion correct is lower with lyrics.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3</col>
      <colOff>0</colOff>
      <row>3</row>
      <rowOff>0</rowOff>
    </from>
    <ext cx="4320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17</row>
      <rowOff>0</rowOff>
    </from>
    <ext cx="6480000" cy="64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3</col>
      <colOff>0</colOff>
      <row>3</row>
      <rowOff>0</rowOff>
    </from>
    <ext cx="4320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17</row>
      <rowOff>0</rowOff>
    </from>
    <ext cx="6480000" cy="64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4</col>
      <colOff>0</colOff>
      <row>3</row>
      <rowOff>0</rowOff>
    </from>
    <ext cx="432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19</row>
      <rowOff>0</rowOff>
    </from>
    <ext cx="4320000" cy="26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9"/>
    <outlinePr summaryBelow="1" summaryRight="1"/>
    <pageSetUpPr fitToPage="1"/>
  </sheetPr>
  <dimension ref="A1:T479"/>
  <sheetViews>
    <sheetView showGridLines="1" zoomScale="110" workbookViewId="0">
      <pane ySplit="1" topLeftCell="A2" activePane="bottomLeft" state="frozen"/>
      <selection pane="bottomLeft" activeCell="A1" sqref="A1"/>
    </sheetView>
  </sheetViews>
  <sheetFormatPr baseColWidth="8" defaultRowHeight="18"/>
  <cols>
    <col width="13" customWidth="1" min="1" max="1"/>
    <col width="16" customWidth="1" min="2" max="2"/>
    <col width="14" customWidth="1" min="3" max="3"/>
    <col width="26" customWidth="1" min="4" max="4"/>
    <col width="8" customWidth="1" min="5" max="5"/>
    <col width="22" customWidth="1" min="6" max="6"/>
    <col width="8" customWidth="1" min="7" max="7"/>
    <col width="10" customWidth="1" min="8" max="8"/>
    <col width="10" customWidth="1" min="9" max="9"/>
    <col width="8" customWidth="1" min="10" max="10"/>
    <col width="10" customWidth="1" min="11" max="11"/>
    <col width="9" customWidth="1" min="12" max="12"/>
    <col width="10" customWidth="1" min="13" max="13"/>
    <col width="8" customWidth="1" min="14" max="14"/>
    <col width="8" customWidth="1" min="15" max="15"/>
    <col width="16" customWidth="1" min="16" max="16"/>
    <col width="14" customWidth="1" min="17" max="17"/>
    <col width="14" customWidth="1" min="18" max="18"/>
    <col width="20" customWidth="1" min="19" max="19"/>
    <col width="10" customWidth="1" min="20" max="20"/>
  </cols>
  <sheetData>
    <row r="1" ht="32" customHeight="1">
      <c r="A1" s="1" t="inlineStr">
        <is>
          <t>participant</t>
        </is>
      </c>
      <c r="B1" s="1" t="inlineStr">
        <is>
          <t>name</t>
        </is>
      </c>
      <c r="C1" s="1" t="inlineStr">
        <is>
          <t>condition</t>
        </is>
      </c>
      <c r="D1" s="1" t="inlineStr">
        <is>
          <t>date</t>
        </is>
      </c>
      <c r="E1" s="1" t="inlineStr">
        <is>
          <t>trial</t>
        </is>
      </c>
      <c r="F1" s="1" t="inlineStr">
        <is>
          <t>numbers</t>
        </is>
      </c>
      <c r="G1" s="1" t="inlineStr">
        <is>
          <t>sum</t>
        </is>
      </c>
      <c r="H1" s="1" t="inlineStr">
        <is>
          <t>answer</t>
        </is>
      </c>
      <c r="I1" s="1" t="inlineStr">
        <is>
          <t>correct</t>
        </is>
      </c>
      <c r="J1" s="1" t="inlineStr">
        <is>
          <t>diff</t>
        </is>
      </c>
      <c r="K1" s="1" t="inlineStr">
        <is>
          <t>rt_ms</t>
        </is>
      </c>
      <c r="L1" s="1" t="inlineStr">
        <is>
          <t>count</t>
        </is>
      </c>
      <c r="M1" s="1" t="inlineStr">
        <is>
          <t>show_s</t>
        </is>
      </c>
      <c r="N1" s="1" t="inlineStr">
        <is>
          <t>min</t>
        </is>
      </c>
      <c r="O1" s="1" t="inlineStr">
        <is>
          <t>max</t>
        </is>
      </c>
      <c r="P1" s="2" t="inlineStr">
        <is>
          <t>condition used</t>
        </is>
      </c>
      <c r="Q1" s="2" t="inlineStr">
        <is>
          <t>correct (1/0)</t>
        </is>
      </c>
      <c r="R1" s="2" t="inlineStr">
        <is>
          <t>rt used (ms)</t>
        </is>
      </c>
      <c r="S1" s="2" t="inlineStr">
        <is>
          <t>absolute error used</t>
        </is>
      </c>
      <c r="T1" s="2" t="inlineStr">
        <is>
          <t>in test</t>
        </is>
      </c>
    </row>
    <row r="2">
      <c r="A2" s="3" t="n">
        <v>1</v>
      </c>
      <c r="B2" s="4" t="inlineStr">
        <is>
          <t>Cas</t>
        </is>
      </c>
      <c r="C2" s="4" t="inlineStr">
        <is>
          <t>lyrics</t>
        </is>
      </c>
      <c r="D2" s="4" t="inlineStr">
        <is>
          <t>2026-10-11T17:50:02.721Z</t>
        </is>
      </c>
      <c r="E2" s="3" t="n">
        <v>1</v>
      </c>
      <c r="F2" s="4" t="inlineStr">
        <is>
          <t>1 2 3 4 9 4 7 1</t>
        </is>
      </c>
      <c r="G2" s="3" t="n">
        <v>31</v>
      </c>
      <c r="H2" s="3" t="n">
        <v>29</v>
      </c>
      <c r="I2" s="3" t="inlineStr">
        <is>
          <t>false</t>
        </is>
      </c>
      <c r="J2" s="3" t="n">
        <v>2</v>
      </c>
      <c r="K2" s="3" t="n">
        <v>2507</v>
      </c>
      <c r="L2" s="3" t="n">
        <v>8</v>
      </c>
      <c r="M2" s="5" t="n">
        <v>1.8</v>
      </c>
      <c r="N2" s="3" t="n">
        <v>1</v>
      </c>
      <c r="O2" s="3" t="n">
        <v>9</v>
      </c>
      <c r="P2" s="6">
        <f>LOWER(TRIM(C2))</f>
        <v/>
      </c>
      <c r="Q2" s="6">
        <f>IF(I2="true",1,0)</f>
        <v/>
      </c>
      <c r="R2" s="7">
        <f>IF(K2="","",K2)</f>
        <v/>
      </c>
      <c r="S2" s="6">
        <f>IF(OR(H2="",H2&lt;8,H2&gt;72),"",J2)</f>
        <v/>
      </c>
      <c r="T2" s="6">
        <f>IF(OR(P2="lyrics",P2="instrumental"),1,IF(AND(P2="none",COUNTIFS($B$2:$B$479,B2,$P$2:$P$479,"none")&gt;=3),1,0))</f>
        <v/>
      </c>
    </row>
    <row r="3">
      <c r="A3" s="8" t="n">
        <v>1</v>
      </c>
      <c r="B3" s="9" t="inlineStr">
        <is>
          <t>Cas</t>
        </is>
      </c>
      <c r="C3" s="9" t="inlineStr">
        <is>
          <t>lyrics</t>
        </is>
      </c>
      <c r="D3" s="9" t="inlineStr">
        <is>
          <t>2026-10-11T17:50:02.721Z</t>
        </is>
      </c>
      <c r="E3" s="8" t="n">
        <v>2</v>
      </c>
      <c r="F3" s="9" t="inlineStr">
        <is>
          <t>2 8 4 1 5 9 7 8</t>
        </is>
      </c>
      <c r="G3" s="8" t="n">
        <v>44</v>
      </c>
      <c r="H3" s="8" t="n">
        <v>44</v>
      </c>
      <c r="I3" s="8" t="inlineStr">
        <is>
          <t>true</t>
        </is>
      </c>
      <c r="J3" s="8" t="n">
        <v>0</v>
      </c>
      <c r="K3" s="8" t="n">
        <v>2542</v>
      </c>
      <c r="L3" s="8" t="n">
        <v>8</v>
      </c>
      <c r="M3" s="10" t="n">
        <v>1.8</v>
      </c>
      <c r="N3" s="8" t="n">
        <v>1</v>
      </c>
      <c r="O3" s="8" t="n">
        <v>9</v>
      </c>
      <c r="P3" s="6">
        <f>LOWER(TRIM(C3))</f>
        <v/>
      </c>
      <c r="Q3" s="6">
        <f>IF(I3="true",1,0)</f>
        <v/>
      </c>
      <c r="R3" s="7">
        <f>IF(K3="","",K3)</f>
        <v/>
      </c>
      <c r="S3" s="6">
        <f>IF(OR(H3="",H3&lt;8,H3&gt;72),"",J3)</f>
        <v/>
      </c>
      <c r="T3" s="6">
        <f>IF(OR(P3="lyrics",P3="instrumental"),1,IF(AND(P3="none",COUNTIFS($B$2:$B$479,B3,$P$2:$P$479,"none")&gt;=3),1,0))</f>
        <v/>
      </c>
    </row>
    <row r="4">
      <c r="A4" s="3" t="n">
        <v>1</v>
      </c>
      <c r="B4" s="4" t="inlineStr">
        <is>
          <t>Cas</t>
        </is>
      </c>
      <c r="C4" s="4" t="inlineStr">
        <is>
          <t>lyrics</t>
        </is>
      </c>
      <c r="D4" s="4" t="inlineStr">
        <is>
          <t>2026-10-11T17:50:02.721Z</t>
        </is>
      </c>
      <c r="E4" s="3" t="n">
        <v>3</v>
      </c>
      <c r="F4" s="4" t="inlineStr">
        <is>
          <t>7 2 5 2 2 7 7 2</t>
        </is>
      </c>
      <c r="G4" s="3" t="n">
        <v>34</v>
      </c>
      <c r="H4" s="3" t="n">
        <v>34</v>
      </c>
      <c r="I4" s="3" t="inlineStr">
        <is>
          <t>true</t>
        </is>
      </c>
      <c r="J4" s="3" t="n">
        <v>0</v>
      </c>
      <c r="K4" s="3" t="n">
        <v>1967</v>
      </c>
      <c r="L4" s="3" t="n">
        <v>8</v>
      </c>
      <c r="M4" s="5" t="n">
        <v>1.8</v>
      </c>
      <c r="N4" s="3" t="n">
        <v>1</v>
      </c>
      <c r="O4" s="3" t="n">
        <v>9</v>
      </c>
      <c r="P4" s="6">
        <f>LOWER(TRIM(C4))</f>
        <v/>
      </c>
      <c r="Q4" s="6">
        <f>IF(I4="true",1,0)</f>
        <v/>
      </c>
      <c r="R4" s="7">
        <f>IF(K4="","",K4)</f>
        <v/>
      </c>
      <c r="S4" s="6">
        <f>IF(OR(H4="",H4&lt;8,H4&gt;72),"",J4)</f>
        <v/>
      </c>
      <c r="T4" s="6">
        <f>IF(OR(P4="lyrics",P4="instrumental"),1,IF(AND(P4="none",COUNTIFS($B$2:$B$479,B4,$P$2:$P$479,"none")&gt;=3),1,0))</f>
        <v/>
      </c>
    </row>
    <row r="5">
      <c r="A5" s="8" t="n">
        <v>2</v>
      </c>
      <c r="B5" s="9" t="inlineStr">
        <is>
          <t>Cas</t>
        </is>
      </c>
      <c r="C5" s="9" t="inlineStr">
        <is>
          <t>none</t>
        </is>
      </c>
      <c r="D5" s="9" t="inlineStr">
        <is>
          <t>2026-10-11T17:53:20.646Z</t>
        </is>
      </c>
      <c r="E5" s="8" t="n">
        <v>1</v>
      </c>
      <c r="F5" s="9" t="inlineStr">
        <is>
          <t>9 4 3 2 9 1 8 4</t>
        </is>
      </c>
      <c r="G5" s="8" t="n">
        <v>40</v>
      </c>
      <c r="H5" s="8" t="n">
        <v>40</v>
      </c>
      <c r="I5" s="8" t="inlineStr">
        <is>
          <t>true</t>
        </is>
      </c>
      <c r="J5" s="8" t="n">
        <v>0</v>
      </c>
      <c r="K5" s="8" t="n">
        <v>1694</v>
      </c>
      <c r="L5" s="8" t="n">
        <v>8</v>
      </c>
      <c r="M5" s="10" t="n">
        <v>1.8</v>
      </c>
      <c r="N5" s="8" t="n">
        <v>1</v>
      </c>
      <c r="O5" s="8" t="n">
        <v>9</v>
      </c>
      <c r="P5" s="6">
        <f>LOWER(TRIM(C5))</f>
        <v/>
      </c>
      <c r="Q5" s="6">
        <f>IF(I5="true",1,0)</f>
        <v/>
      </c>
      <c r="R5" s="7">
        <f>IF(K5="","",K5)</f>
        <v/>
      </c>
      <c r="S5" s="6">
        <f>IF(OR(H5="",H5&lt;8,H5&gt;72),"",J5)</f>
        <v/>
      </c>
      <c r="T5" s="6">
        <f>IF(OR(P5="lyrics",P5="instrumental"),1,IF(AND(P5="none",COUNTIFS($B$2:$B$479,B5,$P$2:$P$479,"none")&gt;=3),1,0))</f>
        <v/>
      </c>
    </row>
    <row r="6">
      <c r="A6" s="3" t="n">
        <v>2</v>
      </c>
      <c r="B6" s="4" t="inlineStr">
        <is>
          <t>Cas</t>
        </is>
      </c>
      <c r="C6" s="4" t="inlineStr">
        <is>
          <t>none</t>
        </is>
      </c>
      <c r="D6" s="4" t="inlineStr">
        <is>
          <t>2026-10-11T17:53:20.646Z</t>
        </is>
      </c>
      <c r="E6" s="3" t="n">
        <v>2</v>
      </c>
      <c r="F6" s="4" t="inlineStr">
        <is>
          <t>8 8 5 9 6 7 3 3</t>
        </is>
      </c>
      <c r="G6" s="3" t="n">
        <v>49</v>
      </c>
      <c r="H6" s="3" t="n">
        <v>49</v>
      </c>
      <c r="I6" s="3" t="inlineStr">
        <is>
          <t>true</t>
        </is>
      </c>
      <c r="J6" s="3" t="n">
        <v>0</v>
      </c>
      <c r="K6" s="3" t="n">
        <v>1648</v>
      </c>
      <c r="L6" s="3" t="n">
        <v>8</v>
      </c>
      <c r="M6" s="5" t="n">
        <v>1.8</v>
      </c>
      <c r="N6" s="3" t="n">
        <v>1</v>
      </c>
      <c r="O6" s="3" t="n">
        <v>9</v>
      </c>
      <c r="P6" s="6">
        <f>LOWER(TRIM(C6))</f>
        <v/>
      </c>
      <c r="Q6" s="6">
        <f>IF(I6="true",1,0)</f>
        <v/>
      </c>
      <c r="R6" s="7">
        <f>IF(K6="","",K6)</f>
        <v/>
      </c>
      <c r="S6" s="6">
        <f>IF(OR(H6="",H6&lt;8,H6&gt;72),"",J6)</f>
        <v/>
      </c>
      <c r="T6" s="6">
        <f>IF(OR(P6="lyrics",P6="instrumental"),1,IF(AND(P6="none",COUNTIFS($B$2:$B$479,B6,$P$2:$P$479,"none")&gt;=3),1,0))</f>
        <v/>
      </c>
    </row>
    <row r="7">
      <c r="A7" s="8" t="n">
        <v>2</v>
      </c>
      <c r="B7" s="9" t="inlineStr">
        <is>
          <t>Cas</t>
        </is>
      </c>
      <c r="C7" s="9" t="inlineStr">
        <is>
          <t>none</t>
        </is>
      </c>
      <c r="D7" s="9" t="inlineStr">
        <is>
          <t>2026-10-11T17:53:20.646Z</t>
        </is>
      </c>
      <c r="E7" s="8" t="n">
        <v>3</v>
      </c>
      <c r="F7" s="9" t="inlineStr">
        <is>
          <t>6 8 9 4 5 3 6 9</t>
        </is>
      </c>
      <c r="G7" s="8" t="n">
        <v>50</v>
      </c>
      <c r="H7" s="8" t="n">
        <v>50</v>
      </c>
      <c r="I7" s="8" t="inlineStr">
        <is>
          <t>true</t>
        </is>
      </c>
      <c r="J7" s="8" t="n">
        <v>0</v>
      </c>
      <c r="K7" s="8" t="n">
        <v>1535</v>
      </c>
      <c r="L7" s="8" t="n">
        <v>8</v>
      </c>
      <c r="M7" s="10" t="n">
        <v>1.8</v>
      </c>
      <c r="N7" s="8" t="n">
        <v>1</v>
      </c>
      <c r="O7" s="8" t="n">
        <v>9</v>
      </c>
      <c r="P7" s="6">
        <f>LOWER(TRIM(C7))</f>
        <v/>
      </c>
      <c r="Q7" s="6">
        <f>IF(I7="true",1,0)</f>
        <v/>
      </c>
      <c r="R7" s="7">
        <f>IF(K7="","",K7)</f>
        <v/>
      </c>
      <c r="S7" s="6">
        <f>IF(OR(H7="",H7&lt;8,H7&gt;72),"",J7)</f>
        <v/>
      </c>
      <c r="T7" s="6">
        <f>IF(OR(P7="lyrics",P7="instrumental"),1,IF(AND(P7="none",COUNTIFS($B$2:$B$479,B7,$P$2:$P$479,"none")&gt;=3),1,0))</f>
        <v/>
      </c>
    </row>
    <row r="8">
      <c r="A8" s="3" t="n">
        <v>3</v>
      </c>
      <c r="B8" s="4" t="inlineStr">
        <is>
          <t>Cas</t>
        </is>
      </c>
      <c r="C8" s="4" t="inlineStr">
        <is>
          <t>instrumental</t>
        </is>
      </c>
      <c r="D8" s="4" t="inlineStr">
        <is>
          <t>2026-10-11T17:54:49.473Z</t>
        </is>
      </c>
      <c r="E8" s="3" t="n">
        <v>1</v>
      </c>
      <c r="F8" s="4" t="inlineStr">
        <is>
          <t>9 9 4 6 4 1 5 6</t>
        </is>
      </c>
      <c r="G8" s="3" t="n">
        <v>44</v>
      </c>
      <c r="H8" s="3" t="n">
        <v>43</v>
      </c>
      <c r="I8" s="3" t="inlineStr">
        <is>
          <t>false</t>
        </is>
      </c>
      <c r="J8" s="3" t="n">
        <v>1</v>
      </c>
      <c r="K8" s="3" t="n">
        <v>1820</v>
      </c>
      <c r="L8" s="3" t="n">
        <v>8</v>
      </c>
      <c r="M8" s="5" t="n">
        <v>1.8</v>
      </c>
      <c r="N8" s="3" t="n">
        <v>1</v>
      </c>
      <c r="O8" s="3" t="n">
        <v>9</v>
      </c>
      <c r="P8" s="6">
        <f>LOWER(TRIM(C8))</f>
        <v/>
      </c>
      <c r="Q8" s="6">
        <f>IF(I8="true",1,0)</f>
        <v/>
      </c>
      <c r="R8" s="7">
        <f>IF(K8="","",K8)</f>
        <v/>
      </c>
      <c r="S8" s="6">
        <f>IF(OR(H8="",H8&lt;8,H8&gt;72),"",J8)</f>
        <v/>
      </c>
      <c r="T8" s="6">
        <f>IF(OR(P8="lyrics",P8="instrumental"),1,IF(AND(P8="none",COUNTIFS($B$2:$B$479,B8,$P$2:$P$479,"none")&gt;=3),1,0))</f>
        <v/>
      </c>
    </row>
    <row r="9">
      <c r="A9" s="8" t="n">
        <v>3</v>
      </c>
      <c r="B9" s="9" t="inlineStr">
        <is>
          <t>Cas</t>
        </is>
      </c>
      <c r="C9" s="9" t="inlineStr">
        <is>
          <t>instrumental</t>
        </is>
      </c>
      <c r="D9" s="9" t="inlineStr">
        <is>
          <t>2026-10-11T17:54:49.473Z</t>
        </is>
      </c>
      <c r="E9" s="8" t="n">
        <v>2</v>
      </c>
      <c r="F9" s="9" t="inlineStr">
        <is>
          <t>7 3 7 2 3 1 4 3</t>
        </is>
      </c>
      <c r="G9" s="8" t="n">
        <v>30</v>
      </c>
      <c r="H9" s="8" t="n">
        <v>30</v>
      </c>
      <c r="I9" s="8" t="inlineStr">
        <is>
          <t>true</t>
        </is>
      </c>
      <c r="J9" s="8" t="n">
        <v>0</v>
      </c>
      <c r="K9" s="8" t="n">
        <v>2036</v>
      </c>
      <c r="L9" s="8" t="n">
        <v>8</v>
      </c>
      <c r="M9" s="10" t="n">
        <v>1.8</v>
      </c>
      <c r="N9" s="8" t="n">
        <v>1</v>
      </c>
      <c r="O9" s="8" t="n">
        <v>9</v>
      </c>
      <c r="P9" s="6">
        <f>LOWER(TRIM(C9))</f>
        <v/>
      </c>
      <c r="Q9" s="6">
        <f>IF(I9="true",1,0)</f>
        <v/>
      </c>
      <c r="R9" s="7">
        <f>IF(K9="","",K9)</f>
        <v/>
      </c>
      <c r="S9" s="6">
        <f>IF(OR(H9="",H9&lt;8,H9&gt;72),"",J9)</f>
        <v/>
      </c>
      <c r="T9" s="6">
        <f>IF(OR(P9="lyrics",P9="instrumental"),1,IF(AND(P9="none",COUNTIFS($B$2:$B$479,B9,$P$2:$P$479,"none")&gt;=3),1,0))</f>
        <v/>
      </c>
    </row>
    <row r="10">
      <c r="A10" s="3" t="n">
        <v>3</v>
      </c>
      <c r="B10" s="4" t="inlineStr">
        <is>
          <t>Cas</t>
        </is>
      </c>
      <c r="C10" s="4" t="inlineStr">
        <is>
          <t>instrumental</t>
        </is>
      </c>
      <c r="D10" s="4" t="inlineStr">
        <is>
          <t>2026-10-11T17:54:49.473Z</t>
        </is>
      </c>
      <c r="E10" s="3" t="n">
        <v>3</v>
      </c>
      <c r="F10" s="4" t="inlineStr">
        <is>
          <t>1 7 6 3 7 4 3 7</t>
        </is>
      </c>
      <c r="G10" s="3" t="n">
        <v>38</v>
      </c>
      <c r="H10" s="3" t="n">
        <v>38</v>
      </c>
      <c r="I10" s="3" t="inlineStr">
        <is>
          <t>true</t>
        </is>
      </c>
      <c r="J10" s="3" t="n">
        <v>0</v>
      </c>
      <c r="K10" s="3" t="n">
        <v>1616</v>
      </c>
      <c r="L10" s="3" t="n">
        <v>8</v>
      </c>
      <c r="M10" s="5" t="n">
        <v>1.8</v>
      </c>
      <c r="N10" s="3" t="n">
        <v>1</v>
      </c>
      <c r="O10" s="3" t="n">
        <v>9</v>
      </c>
      <c r="P10" s="6">
        <f>LOWER(TRIM(C10))</f>
        <v/>
      </c>
      <c r="Q10" s="6">
        <f>IF(I10="true",1,0)</f>
        <v/>
      </c>
      <c r="R10" s="7">
        <f>IF(K10="","",K10)</f>
        <v/>
      </c>
      <c r="S10" s="6">
        <f>IF(OR(H10="",H10&lt;8,H10&gt;72),"",J10)</f>
        <v/>
      </c>
      <c r="T10" s="6">
        <f>IF(OR(P10="lyrics",P10="instrumental"),1,IF(AND(P10="none",COUNTIFS($B$2:$B$479,B10,$P$2:$P$479,"none")&gt;=3),1,0))</f>
        <v/>
      </c>
    </row>
    <row r="11">
      <c r="A11" s="8" t="n">
        <v>4</v>
      </c>
      <c r="B11" s="9" t="inlineStr">
        <is>
          <t>Floor</t>
        </is>
      </c>
      <c r="C11" s="9" t="inlineStr">
        <is>
          <t>instrumental</t>
        </is>
      </c>
      <c r="D11" s="9" t="inlineStr">
        <is>
          <t>2026-10-11T17:56:07.560Z</t>
        </is>
      </c>
      <c r="E11" s="8" t="n">
        <v>1</v>
      </c>
      <c r="F11" s="9" t="inlineStr">
        <is>
          <t>2 9 9 6 3 9 8 3</t>
        </is>
      </c>
      <c r="G11" s="8" t="n">
        <v>49</v>
      </c>
      <c r="H11" s="8" t="n">
        <v>49</v>
      </c>
      <c r="I11" s="8" t="inlineStr">
        <is>
          <t>true</t>
        </is>
      </c>
      <c r="J11" s="8" t="n">
        <v>0</v>
      </c>
      <c r="K11" s="8" t="n">
        <v>3528</v>
      </c>
      <c r="L11" s="8" t="n">
        <v>8</v>
      </c>
      <c r="M11" s="10" t="n">
        <v>1.8</v>
      </c>
      <c r="N11" s="8" t="n">
        <v>1</v>
      </c>
      <c r="O11" s="8" t="n">
        <v>9</v>
      </c>
      <c r="P11" s="6">
        <f>LOWER(TRIM(C11))</f>
        <v/>
      </c>
      <c r="Q11" s="6">
        <f>IF(I11="true",1,0)</f>
        <v/>
      </c>
      <c r="R11" s="7">
        <f>IF(K11="","",K11)</f>
        <v/>
      </c>
      <c r="S11" s="6">
        <f>IF(OR(H11="",H11&lt;8,H11&gt;72),"",J11)</f>
        <v/>
      </c>
      <c r="T11" s="6">
        <f>IF(OR(P11="lyrics",P11="instrumental"),1,IF(AND(P11="none",COUNTIFS($B$2:$B$479,B11,$P$2:$P$479,"none")&gt;=3),1,0))</f>
        <v/>
      </c>
    </row>
    <row r="12">
      <c r="A12" s="3" t="n">
        <v>4</v>
      </c>
      <c r="B12" s="4" t="inlineStr">
        <is>
          <t>Floor</t>
        </is>
      </c>
      <c r="C12" s="4" t="inlineStr">
        <is>
          <t>instrumental</t>
        </is>
      </c>
      <c r="D12" s="4" t="inlineStr">
        <is>
          <t>2026-10-11T17:56:07.560Z</t>
        </is>
      </c>
      <c r="E12" s="3" t="n">
        <v>2</v>
      </c>
      <c r="F12" s="4" t="inlineStr">
        <is>
          <t>2 4 1 3 6 7 2 5</t>
        </is>
      </c>
      <c r="G12" s="3" t="n">
        <v>30</v>
      </c>
      <c r="H12" s="3" t="n">
        <v>30</v>
      </c>
      <c r="I12" s="3" t="inlineStr">
        <is>
          <t>true</t>
        </is>
      </c>
      <c r="J12" s="3" t="n">
        <v>0</v>
      </c>
      <c r="K12" s="3" t="n">
        <v>3439</v>
      </c>
      <c r="L12" s="3" t="n">
        <v>8</v>
      </c>
      <c r="M12" s="5" t="n">
        <v>1.8</v>
      </c>
      <c r="N12" s="3" t="n">
        <v>1</v>
      </c>
      <c r="O12" s="3" t="n">
        <v>9</v>
      </c>
      <c r="P12" s="6">
        <f>LOWER(TRIM(C12))</f>
        <v/>
      </c>
      <c r="Q12" s="6">
        <f>IF(I12="true",1,0)</f>
        <v/>
      </c>
      <c r="R12" s="7">
        <f>IF(K12="","",K12)</f>
        <v/>
      </c>
      <c r="S12" s="6">
        <f>IF(OR(H12="",H12&lt;8,H12&gt;72),"",J12)</f>
        <v/>
      </c>
      <c r="T12" s="6">
        <f>IF(OR(P12="lyrics",P12="instrumental"),1,IF(AND(P12="none",COUNTIFS($B$2:$B$479,B12,$P$2:$P$479,"none")&gt;=3),1,0))</f>
        <v/>
      </c>
    </row>
    <row r="13">
      <c r="A13" s="8" t="n">
        <v>4</v>
      </c>
      <c r="B13" s="9" t="inlineStr">
        <is>
          <t>Floor</t>
        </is>
      </c>
      <c r="C13" s="9" t="inlineStr">
        <is>
          <t>instrumental</t>
        </is>
      </c>
      <c r="D13" s="9" t="inlineStr">
        <is>
          <t>2026-10-11T17:56:07.560Z</t>
        </is>
      </c>
      <c r="E13" s="8" t="n">
        <v>3</v>
      </c>
      <c r="F13" s="9" t="inlineStr">
        <is>
          <t>8 4 1 1 3 3 6 7</t>
        </is>
      </c>
      <c r="G13" s="8" t="n">
        <v>33</v>
      </c>
      <c r="H13" s="8" t="n">
        <v>33</v>
      </c>
      <c r="I13" s="8" t="inlineStr">
        <is>
          <t>true</t>
        </is>
      </c>
      <c r="J13" s="8" t="n">
        <v>0</v>
      </c>
      <c r="K13" s="8" t="n">
        <v>3371</v>
      </c>
      <c r="L13" s="8" t="n">
        <v>8</v>
      </c>
      <c r="M13" s="10" t="n">
        <v>1.8</v>
      </c>
      <c r="N13" s="8" t="n">
        <v>1</v>
      </c>
      <c r="O13" s="8" t="n">
        <v>9</v>
      </c>
      <c r="P13" s="6">
        <f>LOWER(TRIM(C13))</f>
        <v/>
      </c>
      <c r="Q13" s="6">
        <f>IF(I13="true",1,0)</f>
        <v/>
      </c>
      <c r="R13" s="7">
        <f>IF(K13="","",K13)</f>
        <v/>
      </c>
      <c r="S13" s="6">
        <f>IF(OR(H13="",H13&lt;8,H13&gt;72),"",J13)</f>
        <v/>
      </c>
      <c r="T13" s="6">
        <f>IF(OR(P13="lyrics",P13="instrumental"),1,IF(AND(P13="none",COUNTIFS($B$2:$B$479,B13,$P$2:$P$479,"none")&gt;=3),1,0))</f>
        <v/>
      </c>
    </row>
    <row r="14">
      <c r="A14" s="3" t="n">
        <v>5</v>
      </c>
      <c r="B14" s="4" t="inlineStr">
        <is>
          <t>Floor</t>
        </is>
      </c>
      <c r="C14" s="4" t="inlineStr">
        <is>
          <t>none</t>
        </is>
      </c>
      <c r="D14" s="4" t="inlineStr">
        <is>
          <t>2026-10-11T17:57:38.765Z</t>
        </is>
      </c>
      <c r="E14" s="3" t="n">
        <v>1</v>
      </c>
      <c r="F14" s="4" t="inlineStr">
        <is>
          <t>4 8 8 3 7 2 2 8</t>
        </is>
      </c>
      <c r="G14" s="3" t="n">
        <v>42</v>
      </c>
      <c r="H14" s="3" t="n">
        <v>42</v>
      </c>
      <c r="I14" s="3" t="inlineStr">
        <is>
          <t>true</t>
        </is>
      </c>
      <c r="J14" s="3" t="n">
        <v>0</v>
      </c>
      <c r="K14" s="3" t="n">
        <v>3067</v>
      </c>
      <c r="L14" s="3" t="n">
        <v>8</v>
      </c>
      <c r="M14" s="5" t="n">
        <v>1.8</v>
      </c>
      <c r="N14" s="3" t="n">
        <v>1</v>
      </c>
      <c r="O14" s="3" t="n">
        <v>9</v>
      </c>
      <c r="P14" s="6">
        <f>LOWER(TRIM(C14))</f>
        <v/>
      </c>
      <c r="Q14" s="6">
        <f>IF(I14="true",1,0)</f>
        <v/>
      </c>
      <c r="R14" s="7">
        <f>IF(K14="","",K14)</f>
        <v/>
      </c>
      <c r="S14" s="6">
        <f>IF(OR(H14="",H14&lt;8,H14&gt;72),"",J14)</f>
        <v/>
      </c>
      <c r="T14" s="6">
        <f>IF(OR(P14="lyrics",P14="instrumental"),1,IF(AND(P14="none",COUNTIFS($B$2:$B$479,B14,$P$2:$P$479,"none")&gt;=3),1,0))</f>
        <v/>
      </c>
    </row>
    <row r="15">
      <c r="A15" s="8" t="n">
        <v>5</v>
      </c>
      <c r="B15" s="9" t="inlineStr">
        <is>
          <t>Floor</t>
        </is>
      </c>
      <c r="C15" s="9" t="inlineStr">
        <is>
          <t>none</t>
        </is>
      </c>
      <c r="D15" s="9" t="inlineStr">
        <is>
          <t>2026-10-11T17:57:38.765Z</t>
        </is>
      </c>
      <c r="E15" s="8" t="n">
        <v>2</v>
      </c>
      <c r="F15" s="9" t="inlineStr">
        <is>
          <t>2 8 7 6 8 4 1 4</t>
        </is>
      </c>
      <c r="G15" s="8" t="n">
        <v>40</v>
      </c>
      <c r="H15" s="8" t="n">
        <v>40</v>
      </c>
      <c r="I15" s="8" t="inlineStr">
        <is>
          <t>true</t>
        </is>
      </c>
      <c r="J15" s="8" t="n">
        <v>0</v>
      </c>
      <c r="K15" s="8" t="n">
        <v>2690</v>
      </c>
      <c r="L15" s="8" t="n">
        <v>8</v>
      </c>
      <c r="M15" s="10" t="n">
        <v>1.8</v>
      </c>
      <c r="N15" s="8" t="n">
        <v>1</v>
      </c>
      <c r="O15" s="8" t="n">
        <v>9</v>
      </c>
      <c r="P15" s="6">
        <f>LOWER(TRIM(C15))</f>
        <v/>
      </c>
      <c r="Q15" s="6">
        <f>IF(I15="true",1,0)</f>
        <v/>
      </c>
      <c r="R15" s="7">
        <f>IF(K15="","",K15)</f>
        <v/>
      </c>
      <c r="S15" s="6">
        <f>IF(OR(H15="",H15&lt;8,H15&gt;72),"",J15)</f>
        <v/>
      </c>
      <c r="T15" s="6">
        <f>IF(OR(P15="lyrics",P15="instrumental"),1,IF(AND(P15="none",COUNTIFS($B$2:$B$479,B15,$P$2:$P$479,"none")&gt;=3),1,0))</f>
        <v/>
      </c>
    </row>
    <row r="16">
      <c r="A16" s="3" t="n">
        <v>5</v>
      </c>
      <c r="B16" s="4" t="inlineStr">
        <is>
          <t>Floor</t>
        </is>
      </c>
      <c r="C16" s="4" t="inlineStr">
        <is>
          <t>none</t>
        </is>
      </c>
      <c r="D16" s="4" t="inlineStr">
        <is>
          <t>2026-10-11T17:57:38.765Z</t>
        </is>
      </c>
      <c r="E16" s="3" t="n">
        <v>3</v>
      </c>
      <c r="F16" s="4" t="inlineStr">
        <is>
          <t>2 2 4 1 1 6 7 9</t>
        </is>
      </c>
      <c r="G16" s="3" t="n">
        <v>32</v>
      </c>
      <c r="H16" s="3" t="n">
        <v>32</v>
      </c>
      <c r="I16" s="3" t="inlineStr">
        <is>
          <t>true</t>
        </is>
      </c>
      <c r="J16" s="3" t="n">
        <v>0</v>
      </c>
      <c r="K16" s="3" t="n">
        <v>3672</v>
      </c>
      <c r="L16" s="3" t="n">
        <v>8</v>
      </c>
      <c r="M16" s="5" t="n">
        <v>1.8</v>
      </c>
      <c r="N16" s="3" t="n">
        <v>1</v>
      </c>
      <c r="O16" s="3" t="n">
        <v>9</v>
      </c>
      <c r="P16" s="6">
        <f>LOWER(TRIM(C16))</f>
        <v/>
      </c>
      <c r="Q16" s="6">
        <f>IF(I16="true",1,0)</f>
        <v/>
      </c>
      <c r="R16" s="7">
        <f>IF(K16="","",K16)</f>
        <v/>
      </c>
      <c r="S16" s="6">
        <f>IF(OR(H16="",H16&lt;8,H16&gt;72),"",J16)</f>
        <v/>
      </c>
      <c r="T16" s="6">
        <f>IF(OR(P16="lyrics",P16="instrumental"),1,IF(AND(P16="none",COUNTIFS($B$2:$B$479,B16,$P$2:$P$479,"none")&gt;=3),1,0))</f>
        <v/>
      </c>
    </row>
    <row r="17">
      <c r="A17" s="8" t="n">
        <v>6</v>
      </c>
      <c r="B17" s="9" t="inlineStr">
        <is>
          <t>Floor</t>
        </is>
      </c>
      <c r="C17" s="9" t="inlineStr">
        <is>
          <t>lyrics</t>
        </is>
      </c>
      <c r="D17" s="9" t="inlineStr">
        <is>
          <t>2026-10-11T18:00:57.603Z</t>
        </is>
      </c>
      <c r="E17" s="8" t="n">
        <v>1</v>
      </c>
      <c r="F17" s="9" t="inlineStr">
        <is>
          <t>4 9 4 6 9 7 9 4</t>
        </is>
      </c>
      <c r="G17" s="8" t="n">
        <v>52</v>
      </c>
      <c r="H17" s="8" t="n">
        <v>54</v>
      </c>
      <c r="I17" s="8" t="inlineStr">
        <is>
          <t>false</t>
        </is>
      </c>
      <c r="J17" s="8" t="n">
        <v>2</v>
      </c>
      <c r="K17" s="8" t="n">
        <v>3893</v>
      </c>
      <c r="L17" s="8" t="n">
        <v>8</v>
      </c>
      <c r="M17" s="10" t="n">
        <v>1.8</v>
      </c>
      <c r="N17" s="8" t="n">
        <v>1</v>
      </c>
      <c r="O17" s="8" t="n">
        <v>9</v>
      </c>
      <c r="P17" s="6">
        <f>LOWER(TRIM(C17))</f>
        <v/>
      </c>
      <c r="Q17" s="6">
        <f>IF(I17="true",1,0)</f>
        <v/>
      </c>
      <c r="R17" s="7">
        <f>IF(K17="","",K17)</f>
        <v/>
      </c>
      <c r="S17" s="6">
        <f>IF(OR(H17="",H17&lt;8,H17&gt;72),"",J17)</f>
        <v/>
      </c>
      <c r="T17" s="6">
        <f>IF(OR(P17="lyrics",P17="instrumental"),1,IF(AND(P17="none",COUNTIFS($B$2:$B$479,B17,$P$2:$P$479,"none")&gt;=3),1,0))</f>
        <v/>
      </c>
    </row>
    <row r="18">
      <c r="A18" s="3" t="n">
        <v>6</v>
      </c>
      <c r="B18" s="4" t="inlineStr">
        <is>
          <t>Floor</t>
        </is>
      </c>
      <c r="C18" s="4" t="inlineStr">
        <is>
          <t>lyrics</t>
        </is>
      </c>
      <c r="D18" s="4" t="inlineStr">
        <is>
          <t>2026-10-11T18:00:57.603Z</t>
        </is>
      </c>
      <c r="E18" s="3" t="n">
        <v>2</v>
      </c>
      <c r="F18" s="4" t="inlineStr">
        <is>
          <t>6 7 4 5 2 9 7 6</t>
        </is>
      </c>
      <c r="G18" s="3" t="n">
        <v>46</v>
      </c>
      <c r="H18" s="3" t="n">
        <v>46</v>
      </c>
      <c r="I18" s="3" t="inlineStr">
        <is>
          <t>true</t>
        </is>
      </c>
      <c r="J18" s="3" t="n">
        <v>0</v>
      </c>
      <c r="K18" s="3" t="n">
        <v>3801</v>
      </c>
      <c r="L18" s="3" t="n">
        <v>8</v>
      </c>
      <c r="M18" s="5" t="n">
        <v>1.8</v>
      </c>
      <c r="N18" s="3" t="n">
        <v>1</v>
      </c>
      <c r="O18" s="3" t="n">
        <v>9</v>
      </c>
      <c r="P18" s="6">
        <f>LOWER(TRIM(C18))</f>
        <v/>
      </c>
      <c r="Q18" s="6">
        <f>IF(I18="true",1,0)</f>
        <v/>
      </c>
      <c r="R18" s="7">
        <f>IF(K18="","",K18)</f>
        <v/>
      </c>
      <c r="S18" s="6">
        <f>IF(OR(H18="",H18&lt;8,H18&gt;72),"",J18)</f>
        <v/>
      </c>
      <c r="T18" s="6">
        <f>IF(OR(P18="lyrics",P18="instrumental"),1,IF(AND(P18="none",COUNTIFS($B$2:$B$479,B18,$P$2:$P$479,"none")&gt;=3),1,0))</f>
        <v/>
      </c>
    </row>
    <row r="19">
      <c r="A19" s="8" t="n">
        <v>6</v>
      </c>
      <c r="B19" s="9" t="inlineStr">
        <is>
          <t>Floor</t>
        </is>
      </c>
      <c r="C19" s="9" t="inlineStr">
        <is>
          <t>lyrics</t>
        </is>
      </c>
      <c r="D19" s="9" t="inlineStr">
        <is>
          <t>2026-10-11T18:00:57.603Z</t>
        </is>
      </c>
      <c r="E19" s="8" t="n">
        <v>3</v>
      </c>
      <c r="F19" s="9" t="inlineStr">
        <is>
          <t>5 6 5 2 4 8 6 7</t>
        </is>
      </c>
      <c r="G19" s="8" t="n">
        <v>43</v>
      </c>
      <c r="H19" s="8" t="n">
        <v>43</v>
      </c>
      <c r="I19" s="8" t="inlineStr">
        <is>
          <t>true</t>
        </is>
      </c>
      <c r="J19" s="8" t="n">
        <v>0</v>
      </c>
      <c r="K19" s="8" t="n">
        <v>3468</v>
      </c>
      <c r="L19" s="8" t="n">
        <v>8</v>
      </c>
      <c r="M19" s="10" t="n">
        <v>1.8</v>
      </c>
      <c r="N19" s="8" t="n">
        <v>1</v>
      </c>
      <c r="O19" s="8" t="n">
        <v>9</v>
      </c>
      <c r="P19" s="6">
        <f>LOWER(TRIM(C19))</f>
        <v/>
      </c>
      <c r="Q19" s="6">
        <f>IF(I19="true",1,0)</f>
        <v/>
      </c>
      <c r="R19" s="7">
        <f>IF(K19="","",K19)</f>
        <v/>
      </c>
      <c r="S19" s="6">
        <f>IF(OR(H19="",H19&lt;8,H19&gt;72),"",J19)</f>
        <v/>
      </c>
      <c r="T19" s="6">
        <f>IF(OR(P19="lyrics",P19="instrumental"),1,IF(AND(P19="none",COUNTIFS($B$2:$B$479,B19,$P$2:$P$479,"none")&gt;=3),1,0))</f>
        <v/>
      </c>
    </row>
    <row r="20">
      <c r="A20" s="3" t="n">
        <v>7</v>
      </c>
      <c r="B20" s="4" t="inlineStr">
        <is>
          <t>Gerdien</t>
        </is>
      </c>
      <c r="C20" s="4" t="inlineStr">
        <is>
          <t>lyrics</t>
        </is>
      </c>
      <c r="D20" s="4" t="inlineStr">
        <is>
          <t>2026-10-11T18:03:49.230Z</t>
        </is>
      </c>
      <c r="E20" s="3" t="n">
        <v>1</v>
      </c>
      <c r="F20" s="4" t="inlineStr">
        <is>
          <t>7 9 6 6 7 4 8 9</t>
        </is>
      </c>
      <c r="G20" s="3" t="n">
        <v>56</v>
      </c>
      <c r="H20" s="3" t="n">
        <v>56</v>
      </c>
      <c r="I20" s="3" t="inlineStr">
        <is>
          <t>true</t>
        </is>
      </c>
      <c r="J20" s="3" t="n">
        <v>0</v>
      </c>
      <c r="K20" s="3" t="n">
        <v>4773</v>
      </c>
      <c r="L20" s="3" t="n">
        <v>8</v>
      </c>
      <c r="M20" s="5" t="n">
        <v>1.8</v>
      </c>
      <c r="N20" s="3" t="n">
        <v>1</v>
      </c>
      <c r="O20" s="3" t="n">
        <v>9</v>
      </c>
      <c r="P20" s="6">
        <f>LOWER(TRIM(C20))</f>
        <v/>
      </c>
      <c r="Q20" s="6">
        <f>IF(I20="true",1,0)</f>
        <v/>
      </c>
      <c r="R20" s="7">
        <f>IF(K20="","",K20)</f>
        <v/>
      </c>
      <c r="S20" s="6">
        <f>IF(OR(H20="",H20&lt;8,H20&gt;72),"",J20)</f>
        <v/>
      </c>
      <c r="T20" s="6">
        <f>IF(OR(P20="lyrics",P20="instrumental"),1,IF(AND(P20="none",COUNTIFS($B$2:$B$479,B20,$P$2:$P$479,"none")&gt;=3),1,0))</f>
        <v/>
      </c>
    </row>
    <row r="21">
      <c r="A21" s="8" t="n">
        <v>7</v>
      </c>
      <c r="B21" s="9" t="inlineStr">
        <is>
          <t>Gerdien</t>
        </is>
      </c>
      <c r="C21" s="9" t="inlineStr">
        <is>
          <t>lyrics</t>
        </is>
      </c>
      <c r="D21" s="9" t="inlineStr">
        <is>
          <t>2026-10-11T18:03:49.230Z</t>
        </is>
      </c>
      <c r="E21" s="8" t="n">
        <v>2</v>
      </c>
      <c r="F21" s="9" t="inlineStr">
        <is>
          <t>8 5 7 2 5 5 5 9</t>
        </is>
      </c>
      <c r="G21" s="8" t="n">
        <v>46</v>
      </c>
      <c r="H21" s="8" t="n">
        <v>51</v>
      </c>
      <c r="I21" s="8" t="inlineStr">
        <is>
          <t>false</t>
        </is>
      </c>
      <c r="J21" s="8" t="n">
        <v>5</v>
      </c>
      <c r="K21" s="8" t="n">
        <v>4808</v>
      </c>
      <c r="L21" s="8" t="n">
        <v>8</v>
      </c>
      <c r="M21" s="10" t="n">
        <v>1.8</v>
      </c>
      <c r="N21" s="8" t="n">
        <v>1</v>
      </c>
      <c r="O21" s="8" t="n">
        <v>9</v>
      </c>
      <c r="P21" s="6">
        <f>LOWER(TRIM(C21))</f>
        <v/>
      </c>
      <c r="Q21" s="6">
        <f>IF(I21="true",1,0)</f>
        <v/>
      </c>
      <c r="R21" s="7">
        <f>IF(K21="","",K21)</f>
        <v/>
      </c>
      <c r="S21" s="6">
        <f>IF(OR(H21="",H21&lt;8,H21&gt;72),"",J21)</f>
        <v/>
      </c>
      <c r="T21" s="6">
        <f>IF(OR(P21="lyrics",P21="instrumental"),1,IF(AND(P21="none",COUNTIFS($B$2:$B$479,B21,$P$2:$P$479,"none")&gt;=3),1,0))</f>
        <v/>
      </c>
    </row>
    <row r="22">
      <c r="A22" s="3" t="n">
        <v>7</v>
      </c>
      <c r="B22" s="4" t="inlineStr">
        <is>
          <t>Gerdien</t>
        </is>
      </c>
      <c r="C22" s="4" t="inlineStr">
        <is>
          <t>lyrics</t>
        </is>
      </c>
      <c r="D22" s="4" t="inlineStr">
        <is>
          <t>2026-10-11T18:03:49.230Z</t>
        </is>
      </c>
      <c r="E22" s="3" t="n">
        <v>3</v>
      </c>
      <c r="F22" s="4" t="inlineStr">
        <is>
          <t>4 6 4 4 9 8 4 4</t>
        </is>
      </c>
      <c r="G22" s="3" t="n">
        <v>43</v>
      </c>
      <c r="H22" s="3" t="n">
        <v>43</v>
      </c>
      <c r="I22" s="3" t="inlineStr">
        <is>
          <t>true</t>
        </is>
      </c>
      <c r="J22" s="3" t="n">
        <v>0</v>
      </c>
      <c r="K22" s="3" t="n">
        <v>3877</v>
      </c>
      <c r="L22" s="3" t="n">
        <v>8</v>
      </c>
      <c r="M22" s="5" t="n">
        <v>1.8</v>
      </c>
      <c r="N22" s="3" t="n">
        <v>1</v>
      </c>
      <c r="O22" s="3" t="n">
        <v>9</v>
      </c>
      <c r="P22" s="6">
        <f>LOWER(TRIM(C22))</f>
        <v/>
      </c>
      <c r="Q22" s="6">
        <f>IF(I22="true",1,0)</f>
        <v/>
      </c>
      <c r="R22" s="7">
        <f>IF(K22="","",K22)</f>
        <v/>
      </c>
      <c r="S22" s="6">
        <f>IF(OR(H22="",H22&lt;8,H22&gt;72),"",J22)</f>
        <v/>
      </c>
      <c r="T22" s="6">
        <f>IF(OR(P22="lyrics",P22="instrumental"),1,IF(AND(P22="none",COUNTIFS($B$2:$B$479,B22,$P$2:$P$479,"none")&gt;=3),1,0))</f>
        <v/>
      </c>
    </row>
    <row r="23">
      <c r="A23" s="8" t="n">
        <v>8</v>
      </c>
      <c r="B23" s="9" t="inlineStr">
        <is>
          <t>Gerdien</t>
        </is>
      </c>
      <c r="C23" s="9" t="inlineStr">
        <is>
          <t>instrumental</t>
        </is>
      </c>
      <c r="D23" s="9" t="inlineStr">
        <is>
          <t>2026-10-11T18:06:33.738Z</t>
        </is>
      </c>
      <c r="E23" s="8" t="n">
        <v>1</v>
      </c>
      <c r="F23" s="9" t="inlineStr">
        <is>
          <t>2 2 7 2 3 7 1 3</t>
        </is>
      </c>
      <c r="G23" s="8" t="n">
        <v>27</v>
      </c>
      <c r="H23" s="8" t="n">
        <v>26</v>
      </c>
      <c r="I23" s="8" t="inlineStr">
        <is>
          <t>false</t>
        </is>
      </c>
      <c r="J23" s="8" t="n">
        <v>1</v>
      </c>
      <c r="K23" s="8" t="n">
        <v>3877</v>
      </c>
      <c r="L23" s="8" t="n">
        <v>8</v>
      </c>
      <c r="M23" s="10" t="n">
        <v>1.8</v>
      </c>
      <c r="N23" s="8" t="n">
        <v>1</v>
      </c>
      <c r="O23" s="8" t="n">
        <v>9</v>
      </c>
      <c r="P23" s="6">
        <f>LOWER(TRIM(C23))</f>
        <v/>
      </c>
      <c r="Q23" s="6">
        <f>IF(I23="true",1,0)</f>
        <v/>
      </c>
      <c r="R23" s="7">
        <f>IF(K23="","",K23)</f>
        <v/>
      </c>
      <c r="S23" s="6">
        <f>IF(OR(H23="",H23&lt;8,H23&gt;72),"",J23)</f>
        <v/>
      </c>
      <c r="T23" s="6">
        <f>IF(OR(P23="lyrics",P23="instrumental"),1,IF(AND(P23="none",COUNTIFS($B$2:$B$479,B23,$P$2:$P$479,"none")&gt;=3),1,0))</f>
        <v/>
      </c>
    </row>
    <row r="24">
      <c r="A24" s="3" t="n">
        <v>8</v>
      </c>
      <c r="B24" s="4" t="inlineStr">
        <is>
          <t>Gerdien</t>
        </is>
      </c>
      <c r="C24" s="4" t="inlineStr">
        <is>
          <t>instrumental</t>
        </is>
      </c>
      <c r="D24" s="4" t="inlineStr">
        <is>
          <t>2026-10-11T18:06:33.738Z</t>
        </is>
      </c>
      <c r="E24" s="3" t="n">
        <v>2</v>
      </c>
      <c r="F24" s="4" t="inlineStr">
        <is>
          <t>2 8 8 5 2 3 6 2</t>
        </is>
      </c>
      <c r="G24" s="3" t="n">
        <v>36</v>
      </c>
      <c r="H24" s="3" t="n">
        <v>36</v>
      </c>
      <c r="I24" s="3" t="inlineStr">
        <is>
          <t>true</t>
        </is>
      </c>
      <c r="J24" s="3" t="n">
        <v>0</v>
      </c>
      <c r="K24" s="3" t="n">
        <v>4983</v>
      </c>
      <c r="L24" s="3" t="n">
        <v>8</v>
      </c>
      <c r="M24" s="5" t="n">
        <v>1.8</v>
      </c>
      <c r="N24" s="3" t="n">
        <v>1</v>
      </c>
      <c r="O24" s="3" t="n">
        <v>9</v>
      </c>
      <c r="P24" s="6">
        <f>LOWER(TRIM(C24))</f>
        <v/>
      </c>
      <c r="Q24" s="6">
        <f>IF(I24="true",1,0)</f>
        <v/>
      </c>
      <c r="R24" s="7">
        <f>IF(K24="","",K24)</f>
        <v/>
      </c>
      <c r="S24" s="6">
        <f>IF(OR(H24="",H24&lt;8,H24&gt;72),"",J24)</f>
        <v/>
      </c>
      <c r="T24" s="6">
        <f>IF(OR(P24="lyrics",P24="instrumental"),1,IF(AND(P24="none",COUNTIFS($B$2:$B$479,B24,$P$2:$P$479,"none")&gt;=3),1,0))</f>
        <v/>
      </c>
    </row>
    <row r="25">
      <c r="A25" s="8" t="n">
        <v>8</v>
      </c>
      <c r="B25" s="9" t="inlineStr">
        <is>
          <t>Gerdien</t>
        </is>
      </c>
      <c r="C25" s="9" t="inlineStr">
        <is>
          <t>instrumental</t>
        </is>
      </c>
      <c r="D25" s="9" t="inlineStr">
        <is>
          <t>2026-10-11T18:06:33.738Z</t>
        </is>
      </c>
      <c r="E25" s="8" t="n">
        <v>3</v>
      </c>
      <c r="F25" s="9" t="inlineStr">
        <is>
          <t>3 6 2 4 1 6 4 5</t>
        </is>
      </c>
      <c r="G25" s="8" t="n">
        <v>31</v>
      </c>
      <c r="H25" s="8" t="n">
        <v>31</v>
      </c>
      <c r="I25" s="8" t="inlineStr">
        <is>
          <t>true</t>
        </is>
      </c>
      <c r="J25" s="8" t="n">
        <v>0</v>
      </c>
      <c r="K25" s="8" t="n">
        <v>4292</v>
      </c>
      <c r="L25" s="8" t="n">
        <v>8</v>
      </c>
      <c r="M25" s="10" t="n">
        <v>1.8</v>
      </c>
      <c r="N25" s="8" t="n">
        <v>1</v>
      </c>
      <c r="O25" s="8" t="n">
        <v>9</v>
      </c>
      <c r="P25" s="6">
        <f>LOWER(TRIM(C25))</f>
        <v/>
      </c>
      <c r="Q25" s="6">
        <f>IF(I25="true",1,0)</f>
        <v/>
      </c>
      <c r="R25" s="7">
        <f>IF(K25="","",K25)</f>
        <v/>
      </c>
      <c r="S25" s="6">
        <f>IF(OR(H25="",H25&lt;8,H25&gt;72),"",J25)</f>
        <v/>
      </c>
      <c r="T25" s="6">
        <f>IF(OR(P25="lyrics",P25="instrumental"),1,IF(AND(P25="none",COUNTIFS($B$2:$B$479,B25,$P$2:$P$479,"none")&gt;=3),1,0))</f>
        <v/>
      </c>
    </row>
    <row r="26">
      <c r="A26" s="3" t="n">
        <v>9</v>
      </c>
      <c r="B26" s="4" t="inlineStr">
        <is>
          <t>Gerdien</t>
        </is>
      </c>
      <c r="C26" s="4" t="inlineStr">
        <is>
          <t>none</t>
        </is>
      </c>
      <c r="D26" s="4" t="inlineStr">
        <is>
          <t>2026-10-11T18:09:06.805Z</t>
        </is>
      </c>
      <c r="E26" s="3" t="n">
        <v>1</v>
      </c>
      <c r="F26" s="4" t="inlineStr">
        <is>
          <t>9 2 6 7 3 3 5 7</t>
        </is>
      </c>
      <c r="G26" s="3" t="n">
        <v>42</v>
      </c>
      <c r="H26" s="3" t="n">
        <v>42</v>
      </c>
      <c r="I26" s="3" t="inlineStr">
        <is>
          <t>true</t>
        </is>
      </c>
      <c r="J26" s="3" t="n">
        <v>0</v>
      </c>
      <c r="K26" s="3" t="n">
        <v>3630</v>
      </c>
      <c r="L26" s="3" t="n">
        <v>8</v>
      </c>
      <c r="M26" s="5" t="n">
        <v>1.8</v>
      </c>
      <c r="N26" s="3" t="n">
        <v>1</v>
      </c>
      <c r="O26" s="3" t="n">
        <v>9</v>
      </c>
      <c r="P26" s="6">
        <f>LOWER(TRIM(C26))</f>
        <v/>
      </c>
      <c r="Q26" s="6">
        <f>IF(I26="true",1,0)</f>
        <v/>
      </c>
      <c r="R26" s="7">
        <f>IF(K26="","",K26)</f>
        <v/>
      </c>
      <c r="S26" s="6">
        <f>IF(OR(H26="",H26&lt;8,H26&gt;72),"",J26)</f>
        <v/>
      </c>
      <c r="T26" s="6">
        <f>IF(OR(P26="lyrics",P26="instrumental"),1,IF(AND(P26="none",COUNTIFS($B$2:$B$479,B26,$P$2:$P$479,"none")&gt;=3),1,0))</f>
        <v/>
      </c>
    </row>
    <row r="27">
      <c r="A27" s="8" t="n">
        <v>9</v>
      </c>
      <c r="B27" s="9" t="inlineStr">
        <is>
          <t>Gerdien</t>
        </is>
      </c>
      <c r="C27" s="9" t="inlineStr">
        <is>
          <t>none</t>
        </is>
      </c>
      <c r="D27" s="9" t="inlineStr">
        <is>
          <t>2026-10-11T18:09:06.805Z</t>
        </is>
      </c>
      <c r="E27" s="8" t="n">
        <v>2</v>
      </c>
      <c r="F27" s="9" t="inlineStr">
        <is>
          <t>9 4 2 5 3 6 4 2</t>
        </is>
      </c>
      <c r="G27" s="8" t="n">
        <v>35</v>
      </c>
      <c r="H27" s="8" t="n">
        <v>35</v>
      </c>
      <c r="I27" s="8" t="inlineStr">
        <is>
          <t>true</t>
        </is>
      </c>
      <c r="J27" s="8" t="n">
        <v>0</v>
      </c>
      <c r="K27" s="8" t="n">
        <v>3470</v>
      </c>
      <c r="L27" s="8" t="n">
        <v>8</v>
      </c>
      <c r="M27" s="10" t="n">
        <v>1.8</v>
      </c>
      <c r="N27" s="8" t="n">
        <v>1</v>
      </c>
      <c r="O27" s="8" t="n">
        <v>9</v>
      </c>
      <c r="P27" s="6">
        <f>LOWER(TRIM(C27))</f>
        <v/>
      </c>
      <c r="Q27" s="6">
        <f>IF(I27="true",1,0)</f>
        <v/>
      </c>
      <c r="R27" s="7">
        <f>IF(K27="","",K27)</f>
        <v/>
      </c>
      <c r="S27" s="6">
        <f>IF(OR(H27="",H27&lt;8,H27&gt;72),"",J27)</f>
        <v/>
      </c>
      <c r="T27" s="6">
        <f>IF(OR(P27="lyrics",P27="instrumental"),1,IF(AND(P27="none",COUNTIFS($B$2:$B$479,B27,$P$2:$P$479,"none")&gt;=3),1,0))</f>
        <v/>
      </c>
    </row>
    <row r="28">
      <c r="A28" s="3" t="n">
        <v>9</v>
      </c>
      <c r="B28" s="4" t="inlineStr">
        <is>
          <t>Gerdien</t>
        </is>
      </c>
      <c r="C28" s="4" t="inlineStr">
        <is>
          <t>none</t>
        </is>
      </c>
      <c r="D28" s="4" t="inlineStr">
        <is>
          <t>2026-10-11T18:09:06.805Z</t>
        </is>
      </c>
      <c r="E28" s="3" t="n">
        <v>3</v>
      </c>
      <c r="F28" s="4" t="inlineStr">
        <is>
          <t>1 9 3 3 9 6 5 4</t>
        </is>
      </c>
      <c r="G28" s="3" t="n">
        <v>40</v>
      </c>
      <c r="H28" s="3" t="n">
        <v>40</v>
      </c>
      <c r="I28" s="3" t="inlineStr">
        <is>
          <t>true</t>
        </is>
      </c>
      <c r="J28" s="3" t="n">
        <v>0</v>
      </c>
      <c r="K28" s="3" t="n">
        <v>3070</v>
      </c>
      <c r="L28" s="3" t="n">
        <v>8</v>
      </c>
      <c r="M28" s="5" t="n">
        <v>1.8</v>
      </c>
      <c r="N28" s="3" t="n">
        <v>1</v>
      </c>
      <c r="O28" s="3" t="n">
        <v>9</v>
      </c>
      <c r="P28" s="6">
        <f>LOWER(TRIM(C28))</f>
        <v/>
      </c>
      <c r="Q28" s="6">
        <f>IF(I28="true",1,0)</f>
        <v/>
      </c>
      <c r="R28" s="7">
        <f>IF(K28="","",K28)</f>
        <v/>
      </c>
      <c r="S28" s="6">
        <f>IF(OR(H28="",H28&lt;8,H28&gt;72),"",J28)</f>
        <v/>
      </c>
      <c r="T28" s="6">
        <f>IF(OR(P28="lyrics",P28="instrumental"),1,IF(AND(P28="none",COUNTIFS($B$2:$B$479,B28,$P$2:$P$479,"none")&gt;=3),1,0))</f>
        <v/>
      </c>
    </row>
    <row r="29">
      <c r="A29" s="8" t="n">
        <v>10</v>
      </c>
      <c r="B29" s="9" t="inlineStr">
        <is>
          <t>Bommel</t>
        </is>
      </c>
      <c r="C29" s="9" t="inlineStr">
        <is>
          <t>instrumental</t>
        </is>
      </c>
      <c r="D29" s="9" t="inlineStr">
        <is>
          <t>2026-10-11T18:11:14.139Z</t>
        </is>
      </c>
      <c r="E29" s="8" t="n">
        <v>1</v>
      </c>
      <c r="F29" s="9" t="inlineStr">
        <is>
          <t>4 7 3 3 3 8 1 8</t>
        </is>
      </c>
      <c r="G29" s="8" t="n">
        <v>37</v>
      </c>
      <c r="H29" s="8" t="n">
        <v>37</v>
      </c>
      <c r="I29" s="8" t="inlineStr">
        <is>
          <t>true</t>
        </is>
      </c>
      <c r="J29" s="8" t="n">
        <v>0</v>
      </c>
      <c r="K29" s="8" t="n">
        <v>2613</v>
      </c>
      <c r="L29" s="8" t="n">
        <v>8</v>
      </c>
      <c r="M29" s="10" t="n">
        <v>1.8</v>
      </c>
      <c r="N29" s="8" t="n">
        <v>1</v>
      </c>
      <c r="O29" s="8" t="n">
        <v>9</v>
      </c>
      <c r="P29" s="6">
        <f>LOWER(TRIM(C29))</f>
        <v/>
      </c>
      <c r="Q29" s="6">
        <f>IF(I29="true",1,0)</f>
        <v/>
      </c>
      <c r="R29" s="7">
        <f>IF(K29="","",K29)</f>
        <v/>
      </c>
      <c r="S29" s="6">
        <f>IF(OR(H29="",H29&lt;8,H29&gt;72),"",J29)</f>
        <v/>
      </c>
      <c r="T29" s="6">
        <f>IF(OR(P29="lyrics",P29="instrumental"),1,IF(AND(P29="none",COUNTIFS($B$2:$B$479,B29,$P$2:$P$479,"none")&gt;=3),1,0))</f>
        <v/>
      </c>
    </row>
    <row r="30">
      <c r="A30" s="3" t="n">
        <v>10</v>
      </c>
      <c r="B30" s="4" t="inlineStr">
        <is>
          <t>Bommel</t>
        </is>
      </c>
      <c r="C30" s="4" t="inlineStr">
        <is>
          <t>instrumental</t>
        </is>
      </c>
      <c r="D30" s="4" t="inlineStr">
        <is>
          <t>2026-10-11T18:11:14.139Z</t>
        </is>
      </c>
      <c r="E30" s="3" t="n">
        <v>2</v>
      </c>
      <c r="F30" s="4" t="inlineStr">
        <is>
          <t>5 7 7 6 8 6 9 3</t>
        </is>
      </c>
      <c r="G30" s="3" t="n">
        <v>51</v>
      </c>
      <c r="H30" s="3" t="n">
        <v>51</v>
      </c>
      <c r="I30" s="3" t="inlineStr">
        <is>
          <t>true</t>
        </is>
      </c>
      <c r="J30" s="3" t="n">
        <v>0</v>
      </c>
      <c r="K30" s="3" t="n">
        <v>2408</v>
      </c>
      <c r="L30" s="3" t="n">
        <v>8</v>
      </c>
      <c r="M30" s="5" t="n">
        <v>1.8</v>
      </c>
      <c r="N30" s="3" t="n">
        <v>1</v>
      </c>
      <c r="O30" s="3" t="n">
        <v>9</v>
      </c>
      <c r="P30" s="6">
        <f>LOWER(TRIM(C30))</f>
        <v/>
      </c>
      <c r="Q30" s="6">
        <f>IF(I30="true",1,0)</f>
        <v/>
      </c>
      <c r="R30" s="7">
        <f>IF(K30="","",K30)</f>
        <v/>
      </c>
      <c r="S30" s="6">
        <f>IF(OR(H30="",H30&lt;8,H30&gt;72),"",J30)</f>
        <v/>
      </c>
      <c r="T30" s="6">
        <f>IF(OR(P30="lyrics",P30="instrumental"),1,IF(AND(P30="none",COUNTIFS($B$2:$B$479,B30,$P$2:$P$479,"none")&gt;=3),1,0))</f>
        <v/>
      </c>
    </row>
    <row r="31">
      <c r="A31" s="8" t="n">
        <v>10</v>
      </c>
      <c r="B31" s="9" t="inlineStr">
        <is>
          <t>Bommel</t>
        </is>
      </c>
      <c r="C31" s="9" t="inlineStr">
        <is>
          <t>instrumental</t>
        </is>
      </c>
      <c r="D31" s="9" t="inlineStr">
        <is>
          <t>2026-10-11T18:11:14.139Z</t>
        </is>
      </c>
      <c r="E31" s="8" t="n">
        <v>3</v>
      </c>
      <c r="F31" s="9" t="inlineStr">
        <is>
          <t>3 5 8 9 9 9 5 4</t>
        </is>
      </c>
      <c r="G31" s="8" t="n">
        <v>52</v>
      </c>
      <c r="H31" s="8" t="n">
        <v>52</v>
      </c>
      <c r="I31" s="8" t="inlineStr">
        <is>
          <t>true</t>
        </is>
      </c>
      <c r="J31" s="8" t="n">
        <v>0</v>
      </c>
      <c r="K31" s="8" t="n">
        <v>2231</v>
      </c>
      <c r="L31" s="8" t="n">
        <v>8</v>
      </c>
      <c r="M31" s="10" t="n">
        <v>1.8</v>
      </c>
      <c r="N31" s="8" t="n">
        <v>1</v>
      </c>
      <c r="O31" s="8" t="n">
        <v>9</v>
      </c>
      <c r="P31" s="6">
        <f>LOWER(TRIM(C31))</f>
        <v/>
      </c>
      <c r="Q31" s="6">
        <f>IF(I31="true",1,0)</f>
        <v/>
      </c>
      <c r="R31" s="7">
        <f>IF(K31="","",K31)</f>
        <v/>
      </c>
      <c r="S31" s="6">
        <f>IF(OR(H31="",H31&lt;8,H31&gt;72),"",J31)</f>
        <v/>
      </c>
      <c r="T31" s="6">
        <f>IF(OR(P31="lyrics",P31="instrumental"),1,IF(AND(P31="none",COUNTIFS($B$2:$B$479,B31,$P$2:$P$479,"none")&gt;=3),1,0))</f>
        <v/>
      </c>
    </row>
    <row r="32">
      <c r="A32" s="3" t="n">
        <v>11</v>
      </c>
      <c r="B32" s="4" t="inlineStr">
        <is>
          <t>Bommel</t>
        </is>
      </c>
      <c r="C32" s="4" t="inlineStr">
        <is>
          <t>lyrics</t>
        </is>
      </c>
      <c r="D32" s="4" t="inlineStr">
        <is>
          <t>2026-10-11T18:14:04.924Z</t>
        </is>
      </c>
      <c r="E32" s="3" t="n">
        <v>1</v>
      </c>
      <c r="F32" s="4" t="inlineStr">
        <is>
          <t>3 8 8 2 5 7 1 1</t>
        </is>
      </c>
      <c r="G32" s="3" t="n">
        <v>35</v>
      </c>
      <c r="H32" s="3" t="n">
        <v>35</v>
      </c>
      <c r="I32" s="3" t="inlineStr">
        <is>
          <t>true</t>
        </is>
      </c>
      <c r="J32" s="3" t="n">
        <v>0</v>
      </c>
      <c r="K32" s="3" t="n">
        <v>2653</v>
      </c>
      <c r="L32" s="3" t="n">
        <v>8</v>
      </c>
      <c r="M32" s="5" t="n">
        <v>1.8</v>
      </c>
      <c r="N32" s="3" t="n">
        <v>1</v>
      </c>
      <c r="O32" s="3" t="n">
        <v>9</v>
      </c>
      <c r="P32" s="6">
        <f>LOWER(TRIM(C32))</f>
        <v/>
      </c>
      <c r="Q32" s="6">
        <f>IF(I32="true",1,0)</f>
        <v/>
      </c>
      <c r="R32" s="7">
        <f>IF(K32="","",K32)</f>
        <v/>
      </c>
      <c r="S32" s="6">
        <f>IF(OR(H32="",H32&lt;8,H32&gt;72),"",J32)</f>
        <v/>
      </c>
      <c r="T32" s="6">
        <f>IF(OR(P32="lyrics",P32="instrumental"),1,IF(AND(P32="none",COUNTIFS($B$2:$B$479,B32,$P$2:$P$479,"none")&gt;=3),1,0))</f>
        <v/>
      </c>
    </row>
    <row r="33">
      <c r="A33" s="8" t="n">
        <v>11</v>
      </c>
      <c r="B33" s="9" t="inlineStr">
        <is>
          <t>Bommel</t>
        </is>
      </c>
      <c r="C33" s="9" t="inlineStr">
        <is>
          <t>lyrics</t>
        </is>
      </c>
      <c r="D33" s="9" t="inlineStr">
        <is>
          <t>2026-10-11T18:14:04.924Z</t>
        </is>
      </c>
      <c r="E33" s="8" t="n">
        <v>2</v>
      </c>
      <c r="F33" s="9" t="inlineStr">
        <is>
          <t>7 1 3 1 2 3 8 3</t>
        </is>
      </c>
      <c r="G33" s="8" t="n">
        <v>28</v>
      </c>
      <c r="H33" s="8" t="n">
        <v>28</v>
      </c>
      <c r="I33" s="8" t="inlineStr">
        <is>
          <t>true</t>
        </is>
      </c>
      <c r="J33" s="8" t="n">
        <v>0</v>
      </c>
      <c r="K33" s="8" t="n">
        <v>2827</v>
      </c>
      <c r="L33" s="8" t="n">
        <v>8</v>
      </c>
      <c r="M33" s="10" t="n">
        <v>1.8</v>
      </c>
      <c r="N33" s="8" t="n">
        <v>1</v>
      </c>
      <c r="O33" s="8" t="n">
        <v>9</v>
      </c>
      <c r="P33" s="6">
        <f>LOWER(TRIM(C33))</f>
        <v/>
      </c>
      <c r="Q33" s="6">
        <f>IF(I33="true",1,0)</f>
        <v/>
      </c>
      <c r="R33" s="7">
        <f>IF(K33="","",K33)</f>
        <v/>
      </c>
      <c r="S33" s="6">
        <f>IF(OR(H33="",H33&lt;8,H33&gt;72),"",J33)</f>
        <v/>
      </c>
      <c r="T33" s="6">
        <f>IF(OR(P33="lyrics",P33="instrumental"),1,IF(AND(P33="none",COUNTIFS($B$2:$B$479,B33,$P$2:$P$479,"none")&gt;=3),1,0))</f>
        <v/>
      </c>
    </row>
    <row r="34">
      <c r="A34" s="3" t="n">
        <v>11</v>
      </c>
      <c r="B34" s="4" t="inlineStr">
        <is>
          <t>Bommel</t>
        </is>
      </c>
      <c r="C34" s="4" t="inlineStr">
        <is>
          <t>lyrics</t>
        </is>
      </c>
      <c r="D34" s="4" t="inlineStr">
        <is>
          <t>2026-10-11T18:14:04.924Z</t>
        </is>
      </c>
      <c r="E34" s="3" t="n">
        <v>3</v>
      </c>
      <c r="F34" s="4" t="inlineStr">
        <is>
          <t>7 2 6 9 1 6 6 2</t>
        </is>
      </c>
      <c r="G34" s="3" t="n">
        <v>39</v>
      </c>
      <c r="H34" s="3" t="n">
        <v>39</v>
      </c>
      <c r="I34" s="3" t="inlineStr">
        <is>
          <t>true</t>
        </is>
      </c>
      <c r="J34" s="3" t="n">
        <v>0</v>
      </c>
      <c r="K34" s="3" t="n">
        <v>2627</v>
      </c>
      <c r="L34" s="3" t="n">
        <v>8</v>
      </c>
      <c r="M34" s="5" t="n">
        <v>1.8</v>
      </c>
      <c r="N34" s="3" t="n">
        <v>1</v>
      </c>
      <c r="O34" s="3" t="n">
        <v>9</v>
      </c>
      <c r="P34" s="6">
        <f>LOWER(TRIM(C34))</f>
        <v/>
      </c>
      <c r="Q34" s="6">
        <f>IF(I34="true",1,0)</f>
        <v/>
      </c>
      <c r="R34" s="7">
        <f>IF(K34="","",K34)</f>
        <v/>
      </c>
      <c r="S34" s="6">
        <f>IF(OR(H34="",H34&lt;8,H34&gt;72),"",J34)</f>
        <v/>
      </c>
      <c r="T34" s="6">
        <f>IF(OR(P34="lyrics",P34="instrumental"),1,IF(AND(P34="none",COUNTIFS($B$2:$B$479,B34,$P$2:$P$479,"none")&gt;=3),1,0))</f>
        <v/>
      </c>
    </row>
    <row r="35">
      <c r="A35" s="8" t="n">
        <v>12</v>
      </c>
      <c r="B35" s="9" t="inlineStr">
        <is>
          <t>Bommel</t>
        </is>
      </c>
      <c r="C35" s="9" t="inlineStr">
        <is>
          <t>none</t>
        </is>
      </c>
      <c r="D35" s="9" t="inlineStr">
        <is>
          <t>2026-10-11T18:15:58.585Z</t>
        </is>
      </c>
      <c r="E35" s="8" t="n">
        <v>1</v>
      </c>
      <c r="F35" s="9" t="inlineStr">
        <is>
          <t>4 8 6 6 6 7 6 1</t>
        </is>
      </c>
      <c r="G35" s="8" t="n">
        <v>44</v>
      </c>
      <c r="H35" s="8" t="n">
        <v>44</v>
      </c>
      <c r="I35" s="8" t="inlineStr">
        <is>
          <t>true</t>
        </is>
      </c>
      <c r="J35" s="8" t="n">
        <v>0</v>
      </c>
      <c r="K35" s="8" t="n">
        <v>1810</v>
      </c>
      <c r="L35" s="8" t="n">
        <v>8</v>
      </c>
      <c r="M35" s="10" t="n">
        <v>1.8</v>
      </c>
      <c r="N35" s="8" t="n">
        <v>1</v>
      </c>
      <c r="O35" s="8" t="n">
        <v>9</v>
      </c>
      <c r="P35" s="6">
        <f>LOWER(TRIM(C35))</f>
        <v/>
      </c>
      <c r="Q35" s="6">
        <f>IF(I35="true",1,0)</f>
        <v/>
      </c>
      <c r="R35" s="7">
        <f>IF(K35="","",K35)</f>
        <v/>
      </c>
      <c r="S35" s="6">
        <f>IF(OR(H35="",H35&lt;8,H35&gt;72),"",J35)</f>
        <v/>
      </c>
      <c r="T35" s="6">
        <f>IF(OR(P35="lyrics",P35="instrumental"),1,IF(AND(P35="none",COUNTIFS($B$2:$B$479,B35,$P$2:$P$479,"none")&gt;=3),1,0))</f>
        <v/>
      </c>
    </row>
    <row r="36">
      <c r="A36" s="3" t="n">
        <v>12</v>
      </c>
      <c r="B36" s="4" t="inlineStr">
        <is>
          <t>Bommel</t>
        </is>
      </c>
      <c r="C36" s="4" t="inlineStr">
        <is>
          <t>none</t>
        </is>
      </c>
      <c r="D36" s="4" t="inlineStr">
        <is>
          <t>2026-10-11T18:15:58.585Z</t>
        </is>
      </c>
      <c r="E36" s="3" t="n">
        <v>2</v>
      </c>
      <c r="F36" s="4" t="inlineStr">
        <is>
          <t>6 1 1 4 9 6 8 6</t>
        </is>
      </c>
      <c r="G36" s="3" t="n">
        <v>41</v>
      </c>
      <c r="H36" s="3" t="n">
        <v>41</v>
      </c>
      <c r="I36" s="3" t="inlineStr">
        <is>
          <t>true</t>
        </is>
      </c>
      <c r="J36" s="3" t="n">
        <v>0</v>
      </c>
      <c r="K36" s="3" t="n">
        <v>2081</v>
      </c>
      <c r="L36" s="3" t="n">
        <v>8</v>
      </c>
      <c r="M36" s="5" t="n">
        <v>1.8</v>
      </c>
      <c r="N36" s="3" t="n">
        <v>1</v>
      </c>
      <c r="O36" s="3" t="n">
        <v>9</v>
      </c>
      <c r="P36" s="6">
        <f>LOWER(TRIM(C36))</f>
        <v/>
      </c>
      <c r="Q36" s="6">
        <f>IF(I36="true",1,0)</f>
        <v/>
      </c>
      <c r="R36" s="7">
        <f>IF(K36="","",K36)</f>
        <v/>
      </c>
      <c r="S36" s="6">
        <f>IF(OR(H36="",H36&lt;8,H36&gt;72),"",J36)</f>
        <v/>
      </c>
      <c r="T36" s="6">
        <f>IF(OR(P36="lyrics",P36="instrumental"),1,IF(AND(P36="none",COUNTIFS($B$2:$B$479,B36,$P$2:$P$479,"none")&gt;=3),1,0))</f>
        <v/>
      </c>
    </row>
    <row r="37">
      <c r="A37" s="8" t="n">
        <v>12</v>
      </c>
      <c r="B37" s="9" t="inlineStr">
        <is>
          <t>Bommel</t>
        </is>
      </c>
      <c r="C37" s="9" t="inlineStr">
        <is>
          <t>none</t>
        </is>
      </c>
      <c r="D37" s="9" t="inlineStr">
        <is>
          <t>2026-10-11T18:15:58.585Z</t>
        </is>
      </c>
      <c r="E37" s="8" t="n">
        <v>3</v>
      </c>
      <c r="F37" s="9" t="inlineStr">
        <is>
          <t>5 1 8 5 5 8 5 5</t>
        </is>
      </c>
      <c r="G37" s="8" t="n">
        <v>42</v>
      </c>
      <c r="H37" s="8" t="n">
        <v>42</v>
      </c>
      <c r="I37" s="8" t="inlineStr">
        <is>
          <t>true</t>
        </is>
      </c>
      <c r="J37" s="8" t="n">
        <v>0</v>
      </c>
      <c r="K37" s="8" t="n">
        <v>2106</v>
      </c>
      <c r="L37" s="8" t="n">
        <v>8</v>
      </c>
      <c r="M37" s="10" t="n">
        <v>1.8</v>
      </c>
      <c r="N37" s="8" t="n">
        <v>1</v>
      </c>
      <c r="O37" s="8" t="n">
        <v>9</v>
      </c>
      <c r="P37" s="6">
        <f>LOWER(TRIM(C37))</f>
        <v/>
      </c>
      <c r="Q37" s="6">
        <f>IF(I37="true",1,0)</f>
        <v/>
      </c>
      <c r="R37" s="7">
        <f>IF(K37="","",K37)</f>
        <v/>
      </c>
      <c r="S37" s="6">
        <f>IF(OR(H37="",H37&lt;8,H37&gt;72),"",J37)</f>
        <v/>
      </c>
      <c r="T37" s="6">
        <f>IF(OR(P37="lyrics",P37="instrumental"),1,IF(AND(P37="none",COUNTIFS($B$2:$B$479,B37,$P$2:$P$479,"none")&gt;=3),1,0))</f>
        <v/>
      </c>
    </row>
    <row r="38">
      <c r="A38" s="3" t="n">
        <v>13</v>
      </c>
      <c r="B38" s="4" t="inlineStr">
        <is>
          <t>Bram</t>
        </is>
      </c>
      <c r="C38" s="4" t="inlineStr">
        <is>
          <t>instrumental</t>
        </is>
      </c>
      <c r="D38" s="4" t="inlineStr">
        <is>
          <t>2026-10-11T18:19:16.504Z</t>
        </is>
      </c>
      <c r="E38" s="3" t="n">
        <v>1</v>
      </c>
      <c r="F38" s="4" t="inlineStr">
        <is>
          <t>8 6 3 2 6 8 6 8</t>
        </is>
      </c>
      <c r="G38" s="3" t="n">
        <v>47</v>
      </c>
      <c r="H38" s="3" t="n">
        <v>47</v>
      </c>
      <c r="I38" s="3" t="inlineStr">
        <is>
          <t>true</t>
        </is>
      </c>
      <c r="J38" s="3" t="n">
        <v>0</v>
      </c>
      <c r="K38" s="3" t="n">
        <v>2993</v>
      </c>
      <c r="L38" s="3" t="n">
        <v>8</v>
      </c>
      <c r="M38" s="5" t="n">
        <v>1.8</v>
      </c>
      <c r="N38" s="3" t="n">
        <v>1</v>
      </c>
      <c r="O38" s="3" t="n">
        <v>9</v>
      </c>
      <c r="P38" s="6">
        <f>LOWER(TRIM(C38))</f>
        <v/>
      </c>
      <c r="Q38" s="6">
        <f>IF(I38="true",1,0)</f>
        <v/>
      </c>
      <c r="R38" s="7">
        <f>IF(K38="","",K38)</f>
        <v/>
      </c>
      <c r="S38" s="6">
        <f>IF(OR(H38="",H38&lt;8,H38&gt;72),"",J38)</f>
        <v/>
      </c>
      <c r="T38" s="6">
        <f>IF(OR(P38="lyrics",P38="instrumental"),1,IF(AND(P38="none",COUNTIFS($B$2:$B$479,B38,$P$2:$P$479,"none")&gt;=3),1,0))</f>
        <v/>
      </c>
    </row>
    <row r="39">
      <c r="A39" s="8" t="n">
        <v>13</v>
      </c>
      <c r="B39" s="9" t="inlineStr">
        <is>
          <t>Bram</t>
        </is>
      </c>
      <c r="C39" s="9" t="inlineStr">
        <is>
          <t>instrumental</t>
        </is>
      </c>
      <c r="D39" s="9" t="inlineStr">
        <is>
          <t>2026-10-11T18:19:16.504Z</t>
        </is>
      </c>
      <c r="E39" s="8" t="n">
        <v>2</v>
      </c>
      <c r="F39" s="9" t="inlineStr">
        <is>
          <t>3 3 9 1 2 9 5 4</t>
        </is>
      </c>
      <c r="G39" s="8" t="n">
        <v>36</v>
      </c>
      <c r="H39" s="8" t="n">
        <v>37</v>
      </c>
      <c r="I39" s="8" t="inlineStr">
        <is>
          <t>false</t>
        </is>
      </c>
      <c r="J39" s="8" t="n">
        <v>1</v>
      </c>
      <c r="K39" s="8" t="n">
        <v>3361</v>
      </c>
      <c r="L39" s="8" t="n">
        <v>8</v>
      </c>
      <c r="M39" s="10" t="n">
        <v>1.8</v>
      </c>
      <c r="N39" s="8" t="n">
        <v>1</v>
      </c>
      <c r="O39" s="8" t="n">
        <v>9</v>
      </c>
      <c r="P39" s="6">
        <f>LOWER(TRIM(C39))</f>
        <v/>
      </c>
      <c r="Q39" s="6">
        <f>IF(I39="true",1,0)</f>
        <v/>
      </c>
      <c r="R39" s="7">
        <f>IF(K39="","",K39)</f>
        <v/>
      </c>
      <c r="S39" s="6">
        <f>IF(OR(H39="",H39&lt;8,H39&gt;72),"",J39)</f>
        <v/>
      </c>
      <c r="T39" s="6">
        <f>IF(OR(P39="lyrics",P39="instrumental"),1,IF(AND(P39="none",COUNTIFS($B$2:$B$479,B39,$P$2:$P$479,"none")&gt;=3),1,0))</f>
        <v/>
      </c>
    </row>
    <row r="40">
      <c r="A40" s="3" t="n">
        <v>13</v>
      </c>
      <c r="B40" s="4" t="inlineStr">
        <is>
          <t>Bram</t>
        </is>
      </c>
      <c r="C40" s="4" t="inlineStr">
        <is>
          <t>instrumental</t>
        </is>
      </c>
      <c r="D40" s="4" t="inlineStr">
        <is>
          <t>2026-10-11T18:19:16.504Z</t>
        </is>
      </c>
      <c r="E40" s="3" t="n">
        <v>3</v>
      </c>
      <c r="F40" s="4" t="inlineStr">
        <is>
          <t>4 2 1 1 8 4 6 6</t>
        </is>
      </c>
      <c r="G40" s="3" t="n">
        <v>32</v>
      </c>
      <c r="H40" s="3" t="n">
        <v>31</v>
      </c>
      <c r="I40" s="3" t="inlineStr">
        <is>
          <t>false</t>
        </is>
      </c>
      <c r="J40" s="3" t="n">
        <v>1</v>
      </c>
      <c r="K40" s="3" t="n">
        <v>3153</v>
      </c>
      <c r="L40" s="3" t="n">
        <v>8</v>
      </c>
      <c r="M40" s="5" t="n">
        <v>1.8</v>
      </c>
      <c r="N40" s="3" t="n">
        <v>1</v>
      </c>
      <c r="O40" s="3" t="n">
        <v>9</v>
      </c>
      <c r="P40" s="6">
        <f>LOWER(TRIM(C40))</f>
        <v/>
      </c>
      <c r="Q40" s="6">
        <f>IF(I40="true",1,0)</f>
        <v/>
      </c>
      <c r="R40" s="7">
        <f>IF(K40="","",K40)</f>
        <v/>
      </c>
      <c r="S40" s="6">
        <f>IF(OR(H40="",H40&lt;8,H40&gt;72),"",J40)</f>
        <v/>
      </c>
      <c r="T40" s="6">
        <f>IF(OR(P40="lyrics",P40="instrumental"),1,IF(AND(P40="none",COUNTIFS($B$2:$B$479,B40,$P$2:$P$479,"none")&gt;=3),1,0))</f>
        <v/>
      </c>
    </row>
    <row r="41">
      <c r="A41" s="8" t="n">
        <v>14</v>
      </c>
      <c r="B41" s="9" t="inlineStr">
        <is>
          <t>Bram</t>
        </is>
      </c>
      <c r="C41" s="9" t="inlineStr">
        <is>
          <t>none</t>
        </is>
      </c>
      <c r="D41" s="9" t="inlineStr">
        <is>
          <t>2026-10-11T18:21:45.515Z</t>
        </is>
      </c>
      <c r="E41" s="8" t="n">
        <v>1</v>
      </c>
      <c r="F41" s="9" t="inlineStr">
        <is>
          <t>1 4 6 6 2 7 4 1</t>
        </is>
      </c>
      <c r="G41" s="8" t="n">
        <v>31</v>
      </c>
      <c r="H41" s="8" t="n">
        <v>31</v>
      </c>
      <c r="I41" s="8" t="inlineStr">
        <is>
          <t>true</t>
        </is>
      </c>
      <c r="J41" s="8" t="n">
        <v>0</v>
      </c>
      <c r="K41" s="8" t="n">
        <v>2664</v>
      </c>
      <c r="L41" s="8" t="n">
        <v>8</v>
      </c>
      <c r="M41" s="10" t="n">
        <v>1.8</v>
      </c>
      <c r="N41" s="8" t="n">
        <v>1</v>
      </c>
      <c r="O41" s="8" t="n">
        <v>9</v>
      </c>
      <c r="P41" s="6">
        <f>LOWER(TRIM(C41))</f>
        <v/>
      </c>
      <c r="Q41" s="6">
        <f>IF(I41="true",1,0)</f>
        <v/>
      </c>
      <c r="R41" s="7">
        <f>IF(K41="","",K41)</f>
        <v/>
      </c>
      <c r="S41" s="6">
        <f>IF(OR(H41="",H41&lt;8,H41&gt;72),"",J41)</f>
        <v/>
      </c>
      <c r="T41" s="6">
        <f>IF(OR(P41="lyrics",P41="instrumental"),1,IF(AND(P41="none",COUNTIFS($B$2:$B$479,B41,$P$2:$P$479,"none")&gt;=3),1,0))</f>
        <v/>
      </c>
    </row>
    <row r="42">
      <c r="A42" s="3" t="n">
        <v>14</v>
      </c>
      <c r="B42" s="4" t="inlineStr">
        <is>
          <t>Bram</t>
        </is>
      </c>
      <c r="C42" s="4" t="inlineStr">
        <is>
          <t>none</t>
        </is>
      </c>
      <c r="D42" s="4" t="inlineStr">
        <is>
          <t>2026-10-11T18:21:45.515Z</t>
        </is>
      </c>
      <c r="E42" s="3" t="n">
        <v>2</v>
      </c>
      <c r="F42" s="4" t="inlineStr">
        <is>
          <t>2 9 9 4 8 7 2 7</t>
        </is>
      </c>
      <c r="G42" s="3" t="n">
        <v>48</v>
      </c>
      <c r="H42" s="3" t="n">
        <v>48</v>
      </c>
      <c r="I42" s="3" t="inlineStr">
        <is>
          <t>true</t>
        </is>
      </c>
      <c r="J42" s="3" t="n">
        <v>0</v>
      </c>
      <c r="K42" s="3" t="n">
        <v>2837</v>
      </c>
      <c r="L42" s="3" t="n">
        <v>8</v>
      </c>
      <c r="M42" s="5" t="n">
        <v>1.8</v>
      </c>
      <c r="N42" s="3" t="n">
        <v>1</v>
      </c>
      <c r="O42" s="3" t="n">
        <v>9</v>
      </c>
      <c r="P42" s="6">
        <f>LOWER(TRIM(C42))</f>
        <v/>
      </c>
      <c r="Q42" s="6">
        <f>IF(I42="true",1,0)</f>
        <v/>
      </c>
      <c r="R42" s="7">
        <f>IF(K42="","",K42)</f>
        <v/>
      </c>
      <c r="S42" s="6">
        <f>IF(OR(H42="",H42&lt;8,H42&gt;72),"",J42)</f>
        <v/>
      </c>
      <c r="T42" s="6">
        <f>IF(OR(P42="lyrics",P42="instrumental"),1,IF(AND(P42="none",COUNTIFS($B$2:$B$479,B42,$P$2:$P$479,"none")&gt;=3),1,0))</f>
        <v/>
      </c>
    </row>
    <row r="43">
      <c r="A43" s="8" t="n">
        <v>14</v>
      </c>
      <c r="B43" s="9" t="inlineStr">
        <is>
          <t>Bram</t>
        </is>
      </c>
      <c r="C43" s="9" t="inlineStr">
        <is>
          <t>none</t>
        </is>
      </c>
      <c r="D43" s="9" t="inlineStr">
        <is>
          <t>2026-10-11T18:21:45.515Z</t>
        </is>
      </c>
      <c r="E43" s="8" t="n">
        <v>3</v>
      </c>
      <c r="F43" s="9" t="inlineStr">
        <is>
          <t>6 7 1 5 7 4 1 5</t>
        </is>
      </c>
      <c r="G43" s="8" t="n">
        <v>36</v>
      </c>
      <c r="H43" s="8" t="n">
        <v>36</v>
      </c>
      <c r="I43" s="8" t="inlineStr">
        <is>
          <t>true</t>
        </is>
      </c>
      <c r="J43" s="8" t="n">
        <v>0</v>
      </c>
      <c r="K43" s="8" t="n">
        <v>2608</v>
      </c>
      <c r="L43" s="8" t="n">
        <v>8</v>
      </c>
      <c r="M43" s="10" t="n">
        <v>1.8</v>
      </c>
      <c r="N43" s="8" t="n">
        <v>1</v>
      </c>
      <c r="O43" s="8" t="n">
        <v>9</v>
      </c>
      <c r="P43" s="6">
        <f>LOWER(TRIM(C43))</f>
        <v/>
      </c>
      <c r="Q43" s="6">
        <f>IF(I43="true",1,0)</f>
        <v/>
      </c>
      <c r="R43" s="7">
        <f>IF(K43="","",K43)</f>
        <v/>
      </c>
      <c r="S43" s="6">
        <f>IF(OR(H43="",H43&lt;8,H43&gt;72),"",J43)</f>
        <v/>
      </c>
      <c r="T43" s="6">
        <f>IF(OR(P43="lyrics",P43="instrumental"),1,IF(AND(P43="none",COUNTIFS($B$2:$B$479,B43,$P$2:$P$479,"none")&gt;=3),1,0))</f>
        <v/>
      </c>
    </row>
    <row r="44">
      <c r="A44" s="3" t="n">
        <v>15</v>
      </c>
      <c r="B44" s="4" t="inlineStr">
        <is>
          <t>Bram</t>
        </is>
      </c>
      <c r="C44" s="4" t="inlineStr">
        <is>
          <t>lyrics</t>
        </is>
      </c>
      <c r="D44" s="4" t="inlineStr">
        <is>
          <t>2026-10-11T18:24:59.837Z</t>
        </is>
      </c>
      <c r="E44" s="3" t="n">
        <v>1</v>
      </c>
      <c r="F44" s="4" t="inlineStr">
        <is>
          <t>3 4 1 7 5 5 5 9</t>
        </is>
      </c>
      <c r="G44" s="3" t="n">
        <v>39</v>
      </c>
      <c r="H44" s="3" t="n">
        <v>40</v>
      </c>
      <c r="I44" s="3" t="inlineStr">
        <is>
          <t>false</t>
        </is>
      </c>
      <c r="J44" s="3" t="n">
        <v>1</v>
      </c>
      <c r="K44" s="3" t="n">
        <v>3401</v>
      </c>
      <c r="L44" s="3" t="n">
        <v>8</v>
      </c>
      <c r="M44" s="5" t="n">
        <v>1.8</v>
      </c>
      <c r="N44" s="3" t="n">
        <v>1</v>
      </c>
      <c r="O44" s="3" t="n">
        <v>9</v>
      </c>
      <c r="P44" s="6">
        <f>LOWER(TRIM(C44))</f>
        <v/>
      </c>
      <c r="Q44" s="6">
        <f>IF(I44="true",1,0)</f>
        <v/>
      </c>
      <c r="R44" s="7">
        <f>IF(K44="","",K44)</f>
        <v/>
      </c>
      <c r="S44" s="6">
        <f>IF(OR(H44="",H44&lt;8,H44&gt;72),"",J44)</f>
        <v/>
      </c>
      <c r="T44" s="6">
        <f>IF(OR(P44="lyrics",P44="instrumental"),1,IF(AND(P44="none",COUNTIFS($B$2:$B$479,B44,$P$2:$P$479,"none")&gt;=3),1,0))</f>
        <v/>
      </c>
    </row>
    <row r="45">
      <c r="A45" s="8" t="n">
        <v>15</v>
      </c>
      <c r="B45" s="9" t="inlineStr">
        <is>
          <t>Bram</t>
        </is>
      </c>
      <c r="C45" s="9" t="inlineStr">
        <is>
          <t>lyrics</t>
        </is>
      </c>
      <c r="D45" s="9" t="inlineStr">
        <is>
          <t>2026-10-11T18:24:59.837Z</t>
        </is>
      </c>
      <c r="E45" s="8" t="n">
        <v>2</v>
      </c>
      <c r="F45" s="9" t="inlineStr">
        <is>
          <t>4 4 2 8 3 6 4 2</t>
        </is>
      </c>
      <c r="G45" s="8" t="n">
        <v>33</v>
      </c>
      <c r="H45" s="8" t="n">
        <v>33</v>
      </c>
      <c r="I45" s="8" t="inlineStr">
        <is>
          <t>true</t>
        </is>
      </c>
      <c r="J45" s="8" t="n">
        <v>0</v>
      </c>
      <c r="K45" s="8" t="n">
        <v>2898</v>
      </c>
      <c r="L45" s="8" t="n">
        <v>8</v>
      </c>
      <c r="M45" s="10" t="n">
        <v>1.8</v>
      </c>
      <c r="N45" s="8" t="n">
        <v>1</v>
      </c>
      <c r="O45" s="8" t="n">
        <v>9</v>
      </c>
      <c r="P45" s="6">
        <f>LOWER(TRIM(C45))</f>
        <v/>
      </c>
      <c r="Q45" s="6">
        <f>IF(I45="true",1,0)</f>
        <v/>
      </c>
      <c r="R45" s="7">
        <f>IF(K45="","",K45)</f>
        <v/>
      </c>
      <c r="S45" s="6">
        <f>IF(OR(H45="",H45&lt;8,H45&gt;72),"",J45)</f>
        <v/>
      </c>
      <c r="T45" s="6">
        <f>IF(OR(P45="lyrics",P45="instrumental"),1,IF(AND(P45="none",COUNTIFS($B$2:$B$479,B45,$P$2:$P$479,"none")&gt;=3),1,0))</f>
        <v/>
      </c>
    </row>
    <row r="46">
      <c r="A46" s="3" t="n">
        <v>15</v>
      </c>
      <c r="B46" s="4" t="inlineStr">
        <is>
          <t>Bram</t>
        </is>
      </c>
      <c r="C46" s="4" t="inlineStr">
        <is>
          <t>lyrics</t>
        </is>
      </c>
      <c r="D46" s="4" t="inlineStr">
        <is>
          <t>2026-10-11T18:24:59.837Z</t>
        </is>
      </c>
      <c r="E46" s="3" t="n">
        <v>3</v>
      </c>
      <c r="F46" s="4" t="inlineStr">
        <is>
          <t>9 9 8 8 6 3 3 8</t>
        </is>
      </c>
      <c r="G46" s="3" t="n">
        <v>54</v>
      </c>
      <c r="H46" s="3" t="n">
        <v>52</v>
      </c>
      <c r="I46" s="3" t="inlineStr">
        <is>
          <t>false</t>
        </is>
      </c>
      <c r="J46" s="3" t="n">
        <v>2</v>
      </c>
      <c r="K46" s="3" t="n">
        <v>3825</v>
      </c>
      <c r="L46" s="3" t="n">
        <v>8</v>
      </c>
      <c r="M46" s="5" t="n">
        <v>1.8</v>
      </c>
      <c r="N46" s="3" t="n">
        <v>1</v>
      </c>
      <c r="O46" s="3" t="n">
        <v>9</v>
      </c>
      <c r="P46" s="6">
        <f>LOWER(TRIM(C46))</f>
        <v/>
      </c>
      <c r="Q46" s="6">
        <f>IF(I46="true",1,0)</f>
        <v/>
      </c>
      <c r="R46" s="7">
        <f>IF(K46="","",K46)</f>
        <v/>
      </c>
      <c r="S46" s="6">
        <f>IF(OR(H46="",H46&lt;8,H46&gt;72),"",J46)</f>
        <v/>
      </c>
      <c r="T46" s="6">
        <f>IF(OR(P46="lyrics",P46="instrumental"),1,IF(AND(P46="none",COUNTIFS($B$2:$B$479,B46,$P$2:$P$479,"none")&gt;=3),1,0))</f>
        <v/>
      </c>
    </row>
    <row r="47">
      <c r="A47" s="8" t="n">
        <v>16</v>
      </c>
      <c r="B47" s="9" t="inlineStr">
        <is>
          <t>Fay</t>
        </is>
      </c>
      <c r="C47" s="9" t="inlineStr">
        <is>
          <t>instrumental</t>
        </is>
      </c>
      <c r="D47" s="9" t="inlineStr">
        <is>
          <t>2026-10-11T18:27:36.541Z</t>
        </is>
      </c>
      <c r="E47" s="8" t="n">
        <v>1</v>
      </c>
      <c r="F47" s="9" t="inlineStr">
        <is>
          <t>3 5 2 8 6 3 4 7</t>
        </is>
      </c>
      <c r="G47" s="8" t="n">
        <v>38</v>
      </c>
      <c r="H47" s="8" t="n">
        <v>38</v>
      </c>
      <c r="I47" s="8" t="inlineStr">
        <is>
          <t>true</t>
        </is>
      </c>
      <c r="J47" s="8" t="n">
        <v>0</v>
      </c>
      <c r="K47" s="8" t="n">
        <v>2018</v>
      </c>
      <c r="L47" s="8" t="n">
        <v>8</v>
      </c>
      <c r="M47" s="10" t="n">
        <v>1.8</v>
      </c>
      <c r="N47" s="8" t="n">
        <v>1</v>
      </c>
      <c r="O47" s="8" t="n">
        <v>9</v>
      </c>
      <c r="P47" s="6">
        <f>LOWER(TRIM(C47))</f>
        <v/>
      </c>
      <c r="Q47" s="6">
        <f>IF(I47="true",1,0)</f>
        <v/>
      </c>
      <c r="R47" s="7">
        <f>IF(K47="","",K47)</f>
        <v/>
      </c>
      <c r="S47" s="6">
        <f>IF(OR(H47="",H47&lt;8,H47&gt;72),"",J47)</f>
        <v/>
      </c>
      <c r="T47" s="6">
        <f>IF(OR(P47="lyrics",P47="instrumental"),1,IF(AND(P47="none",COUNTIFS($B$2:$B$479,B47,$P$2:$P$479,"none")&gt;=3),1,0))</f>
        <v/>
      </c>
    </row>
    <row r="48">
      <c r="A48" s="3" t="n">
        <v>16</v>
      </c>
      <c r="B48" s="4" t="inlineStr">
        <is>
          <t>Fay</t>
        </is>
      </c>
      <c r="C48" s="4" t="inlineStr">
        <is>
          <t>instrumental</t>
        </is>
      </c>
      <c r="D48" s="4" t="inlineStr">
        <is>
          <t>2026-10-11T18:27:36.541Z</t>
        </is>
      </c>
      <c r="E48" s="3" t="n">
        <v>2</v>
      </c>
      <c r="F48" s="4" t="inlineStr">
        <is>
          <t>6 7 6 5 2 2 7 8</t>
        </is>
      </c>
      <c r="G48" s="3" t="n">
        <v>43</v>
      </c>
      <c r="H48" s="3" t="n">
        <v>43</v>
      </c>
      <c r="I48" s="3" t="inlineStr">
        <is>
          <t>true</t>
        </is>
      </c>
      <c r="J48" s="3" t="n">
        <v>0</v>
      </c>
      <c r="K48" s="3" t="n">
        <v>2289</v>
      </c>
      <c r="L48" s="3" t="n">
        <v>8</v>
      </c>
      <c r="M48" s="5" t="n">
        <v>1.8</v>
      </c>
      <c r="N48" s="3" t="n">
        <v>1</v>
      </c>
      <c r="O48" s="3" t="n">
        <v>9</v>
      </c>
      <c r="P48" s="6">
        <f>LOWER(TRIM(C48))</f>
        <v/>
      </c>
      <c r="Q48" s="6">
        <f>IF(I48="true",1,0)</f>
        <v/>
      </c>
      <c r="R48" s="7">
        <f>IF(K48="","",K48)</f>
        <v/>
      </c>
      <c r="S48" s="6">
        <f>IF(OR(H48="",H48&lt;8,H48&gt;72),"",J48)</f>
        <v/>
      </c>
      <c r="T48" s="6">
        <f>IF(OR(P48="lyrics",P48="instrumental"),1,IF(AND(P48="none",COUNTIFS($B$2:$B$479,B48,$P$2:$P$479,"none")&gt;=3),1,0))</f>
        <v/>
      </c>
    </row>
    <row r="49">
      <c r="A49" s="8" t="n">
        <v>16</v>
      </c>
      <c r="B49" s="9" t="inlineStr">
        <is>
          <t>Fay</t>
        </is>
      </c>
      <c r="C49" s="9" t="inlineStr">
        <is>
          <t>instrumental</t>
        </is>
      </c>
      <c r="D49" s="9" t="inlineStr">
        <is>
          <t>2026-10-11T18:27:36.541Z</t>
        </is>
      </c>
      <c r="E49" s="8" t="n">
        <v>3</v>
      </c>
      <c r="F49" s="9" t="inlineStr">
        <is>
          <t>4 1 1 9 6 6 8 2</t>
        </is>
      </c>
      <c r="G49" s="8" t="n">
        <v>37</v>
      </c>
      <c r="H49" s="8" t="n">
        <v>37</v>
      </c>
      <c r="I49" s="8" t="inlineStr">
        <is>
          <t>true</t>
        </is>
      </c>
      <c r="J49" s="8" t="n">
        <v>0</v>
      </c>
      <c r="K49" s="8" t="n">
        <v>2060</v>
      </c>
      <c r="L49" s="8" t="n">
        <v>8</v>
      </c>
      <c r="M49" s="10" t="n">
        <v>1.8</v>
      </c>
      <c r="N49" s="8" t="n">
        <v>1</v>
      </c>
      <c r="O49" s="8" t="n">
        <v>9</v>
      </c>
      <c r="P49" s="6">
        <f>LOWER(TRIM(C49))</f>
        <v/>
      </c>
      <c r="Q49" s="6">
        <f>IF(I49="true",1,0)</f>
        <v/>
      </c>
      <c r="R49" s="7">
        <f>IF(K49="","",K49)</f>
        <v/>
      </c>
      <c r="S49" s="6">
        <f>IF(OR(H49="",H49&lt;8,H49&gt;72),"",J49)</f>
        <v/>
      </c>
      <c r="T49" s="6">
        <f>IF(OR(P49="lyrics",P49="instrumental"),1,IF(AND(P49="none",COUNTIFS($B$2:$B$479,B49,$P$2:$P$479,"none")&gt;=3),1,0))</f>
        <v/>
      </c>
    </row>
    <row r="50">
      <c r="A50" s="3" t="n">
        <v>17</v>
      </c>
      <c r="B50" s="4" t="inlineStr">
        <is>
          <t>Fay</t>
        </is>
      </c>
      <c r="C50" s="4" t="inlineStr">
        <is>
          <t>none</t>
        </is>
      </c>
      <c r="D50" s="4" t="inlineStr">
        <is>
          <t>2026-10-11T18:29:15.596Z</t>
        </is>
      </c>
      <c r="E50" s="3" t="n">
        <v>1</v>
      </c>
      <c r="F50" s="4" t="inlineStr">
        <is>
          <t>8 5 2 9 1 4 4 2</t>
        </is>
      </c>
      <c r="G50" s="3" t="n">
        <v>35</v>
      </c>
      <c r="H50" s="3" t="n">
        <v>36</v>
      </c>
      <c r="I50" s="3" t="inlineStr">
        <is>
          <t>false</t>
        </is>
      </c>
      <c r="J50" s="3" t="n">
        <v>1</v>
      </c>
      <c r="K50" s="3" t="n">
        <v>2219</v>
      </c>
      <c r="L50" s="3" t="n">
        <v>8</v>
      </c>
      <c r="M50" s="5" t="n">
        <v>1.8</v>
      </c>
      <c r="N50" s="3" t="n">
        <v>1</v>
      </c>
      <c r="O50" s="3" t="n">
        <v>9</v>
      </c>
      <c r="P50" s="6">
        <f>LOWER(TRIM(C50))</f>
        <v/>
      </c>
      <c r="Q50" s="6">
        <f>IF(I50="true",1,0)</f>
        <v/>
      </c>
      <c r="R50" s="7">
        <f>IF(K50="","",K50)</f>
        <v/>
      </c>
      <c r="S50" s="6">
        <f>IF(OR(H50="",H50&lt;8,H50&gt;72),"",J50)</f>
        <v/>
      </c>
      <c r="T50" s="6">
        <f>IF(OR(P50="lyrics",P50="instrumental"),1,IF(AND(P50="none",COUNTIFS($B$2:$B$479,B50,$P$2:$P$479,"none")&gt;=3),1,0))</f>
        <v/>
      </c>
    </row>
    <row r="51">
      <c r="A51" s="8" t="n">
        <v>17</v>
      </c>
      <c r="B51" s="9" t="inlineStr">
        <is>
          <t>Fay</t>
        </is>
      </c>
      <c r="C51" s="9" t="inlineStr">
        <is>
          <t>none</t>
        </is>
      </c>
      <c r="D51" s="9" t="inlineStr">
        <is>
          <t>2026-10-11T18:29:15.596Z</t>
        </is>
      </c>
      <c r="E51" s="8" t="n">
        <v>2</v>
      </c>
      <c r="F51" s="9" t="inlineStr">
        <is>
          <t>8 5 1 8 8 4 9 1</t>
        </is>
      </c>
      <c r="G51" s="8" t="n">
        <v>44</v>
      </c>
      <c r="H51" s="8" t="n">
        <v>44</v>
      </c>
      <c r="I51" s="8" t="inlineStr">
        <is>
          <t>true</t>
        </is>
      </c>
      <c r="J51" s="8" t="n">
        <v>0</v>
      </c>
      <c r="K51" s="8" t="n">
        <v>1602</v>
      </c>
      <c r="L51" s="8" t="n">
        <v>8</v>
      </c>
      <c r="M51" s="10" t="n">
        <v>1.8</v>
      </c>
      <c r="N51" s="8" t="n">
        <v>1</v>
      </c>
      <c r="O51" s="8" t="n">
        <v>9</v>
      </c>
      <c r="P51" s="6">
        <f>LOWER(TRIM(C51))</f>
        <v/>
      </c>
      <c r="Q51" s="6">
        <f>IF(I51="true",1,0)</f>
        <v/>
      </c>
      <c r="R51" s="7">
        <f>IF(K51="","",K51)</f>
        <v/>
      </c>
      <c r="S51" s="6">
        <f>IF(OR(H51="",H51&lt;8,H51&gt;72),"",J51)</f>
        <v/>
      </c>
      <c r="T51" s="6">
        <f>IF(OR(P51="lyrics",P51="instrumental"),1,IF(AND(P51="none",COUNTIFS($B$2:$B$479,B51,$P$2:$P$479,"none")&gt;=3),1,0))</f>
        <v/>
      </c>
    </row>
    <row r="52">
      <c r="A52" s="3" t="n">
        <v>17</v>
      </c>
      <c r="B52" s="4" t="inlineStr">
        <is>
          <t>Fay</t>
        </is>
      </c>
      <c r="C52" s="4" t="inlineStr">
        <is>
          <t>none</t>
        </is>
      </c>
      <c r="D52" s="4" t="inlineStr">
        <is>
          <t>2026-10-11T18:29:15.596Z</t>
        </is>
      </c>
      <c r="E52" s="3" t="n">
        <v>3</v>
      </c>
      <c r="F52" s="4" t="inlineStr">
        <is>
          <t>9 7 8 9 8 3 2 9</t>
        </is>
      </c>
      <c r="G52" s="3" t="n">
        <v>55</v>
      </c>
      <c r="H52" s="3" t="n">
        <v>55</v>
      </c>
      <c r="I52" s="3" t="inlineStr">
        <is>
          <t>true</t>
        </is>
      </c>
      <c r="J52" s="3" t="n">
        <v>0</v>
      </c>
      <c r="K52" s="3" t="n">
        <v>1808</v>
      </c>
      <c r="L52" s="3" t="n">
        <v>8</v>
      </c>
      <c r="M52" s="5" t="n">
        <v>1.8</v>
      </c>
      <c r="N52" s="3" t="n">
        <v>1</v>
      </c>
      <c r="O52" s="3" t="n">
        <v>9</v>
      </c>
      <c r="P52" s="6">
        <f>LOWER(TRIM(C52))</f>
        <v/>
      </c>
      <c r="Q52" s="6">
        <f>IF(I52="true",1,0)</f>
        <v/>
      </c>
      <c r="R52" s="7">
        <f>IF(K52="","",K52)</f>
        <v/>
      </c>
      <c r="S52" s="6">
        <f>IF(OR(H52="",H52&lt;8,H52&gt;72),"",J52)</f>
        <v/>
      </c>
      <c r="T52" s="6">
        <f>IF(OR(P52="lyrics",P52="instrumental"),1,IF(AND(P52="none",COUNTIFS($B$2:$B$479,B52,$P$2:$P$479,"none")&gt;=3),1,0))</f>
        <v/>
      </c>
    </row>
    <row r="53">
      <c r="A53" s="8" t="n">
        <v>18</v>
      </c>
      <c r="B53" s="9" t="inlineStr">
        <is>
          <t>Fay</t>
        </is>
      </c>
      <c r="C53" s="9" t="inlineStr">
        <is>
          <t>lyrics</t>
        </is>
      </c>
      <c r="D53" s="9" t="inlineStr">
        <is>
          <t>2026-10-11T18:31:41.176Z</t>
        </is>
      </c>
      <c r="E53" s="8" t="n">
        <v>1</v>
      </c>
      <c r="F53" s="9" t="inlineStr">
        <is>
          <t>9 7 2 8 9 3 5 3</t>
        </is>
      </c>
      <c r="G53" s="8" t="n">
        <v>46</v>
      </c>
      <c r="H53" s="8" t="n">
        <v>46</v>
      </c>
      <c r="I53" s="8" t="inlineStr">
        <is>
          <t>true</t>
        </is>
      </c>
      <c r="J53" s="8" t="n">
        <v>0</v>
      </c>
      <c r="K53" s="8" t="n">
        <v>2774</v>
      </c>
      <c r="L53" s="8" t="n">
        <v>8</v>
      </c>
      <c r="M53" s="10" t="n">
        <v>1.8</v>
      </c>
      <c r="N53" s="8" t="n">
        <v>1</v>
      </c>
      <c r="O53" s="8" t="n">
        <v>9</v>
      </c>
      <c r="P53" s="6">
        <f>LOWER(TRIM(C53))</f>
        <v/>
      </c>
      <c r="Q53" s="6">
        <f>IF(I53="true",1,0)</f>
        <v/>
      </c>
      <c r="R53" s="7">
        <f>IF(K53="","",K53)</f>
        <v/>
      </c>
      <c r="S53" s="6">
        <f>IF(OR(H53="",H53&lt;8,H53&gt;72),"",J53)</f>
        <v/>
      </c>
      <c r="T53" s="6">
        <f>IF(OR(P53="lyrics",P53="instrumental"),1,IF(AND(P53="none",COUNTIFS($B$2:$B$479,B53,$P$2:$P$479,"none")&gt;=3),1,0))</f>
        <v/>
      </c>
    </row>
    <row r="54">
      <c r="A54" s="3" t="n">
        <v>18</v>
      </c>
      <c r="B54" s="4" t="inlineStr">
        <is>
          <t>Fay</t>
        </is>
      </c>
      <c r="C54" s="4" t="inlineStr">
        <is>
          <t>lyrics</t>
        </is>
      </c>
      <c r="D54" s="4" t="inlineStr">
        <is>
          <t>2026-10-11T18:31:41.176Z</t>
        </is>
      </c>
      <c r="E54" s="3" t="n">
        <v>2</v>
      </c>
      <c r="F54" s="4" t="inlineStr">
        <is>
          <t>6 6 9 1 7 5 2 4</t>
        </is>
      </c>
      <c r="G54" s="3" t="n">
        <v>40</v>
      </c>
      <c r="H54" s="3" t="n">
        <v>40</v>
      </c>
      <c r="I54" s="3" t="inlineStr">
        <is>
          <t>true</t>
        </is>
      </c>
      <c r="J54" s="3" t="n">
        <v>0</v>
      </c>
      <c r="K54" s="3" t="n">
        <v>2480</v>
      </c>
      <c r="L54" s="3" t="n">
        <v>8</v>
      </c>
      <c r="M54" s="5" t="n">
        <v>1.8</v>
      </c>
      <c r="N54" s="3" t="n">
        <v>1</v>
      </c>
      <c r="O54" s="3" t="n">
        <v>9</v>
      </c>
      <c r="P54" s="6">
        <f>LOWER(TRIM(C54))</f>
        <v/>
      </c>
      <c r="Q54" s="6">
        <f>IF(I54="true",1,0)</f>
        <v/>
      </c>
      <c r="R54" s="7">
        <f>IF(K54="","",K54)</f>
        <v/>
      </c>
      <c r="S54" s="6">
        <f>IF(OR(H54="",H54&lt;8,H54&gt;72),"",J54)</f>
        <v/>
      </c>
      <c r="T54" s="6">
        <f>IF(OR(P54="lyrics",P54="instrumental"),1,IF(AND(P54="none",COUNTIFS($B$2:$B$479,B54,$P$2:$P$479,"none")&gt;=3),1,0))</f>
        <v/>
      </c>
    </row>
    <row r="55">
      <c r="A55" s="8" t="n">
        <v>18</v>
      </c>
      <c r="B55" s="9" t="inlineStr">
        <is>
          <t>Fay</t>
        </is>
      </c>
      <c r="C55" s="9" t="inlineStr">
        <is>
          <t>lyrics</t>
        </is>
      </c>
      <c r="D55" s="9" t="inlineStr">
        <is>
          <t>2026-10-11T18:31:41.176Z</t>
        </is>
      </c>
      <c r="E55" s="8" t="n">
        <v>3</v>
      </c>
      <c r="F55" s="9" t="inlineStr">
        <is>
          <t>8 5 4 8 9 2 2 5</t>
        </is>
      </c>
      <c r="G55" s="8" t="n">
        <v>43</v>
      </c>
      <c r="H55" s="8" t="n">
        <v>42</v>
      </c>
      <c r="I55" s="8" t="inlineStr">
        <is>
          <t>false</t>
        </is>
      </c>
      <c r="J55" s="8" t="n">
        <v>1</v>
      </c>
      <c r="K55" s="8" t="n">
        <v>2341</v>
      </c>
      <c r="L55" s="8" t="n">
        <v>8</v>
      </c>
      <c r="M55" s="10" t="n">
        <v>1.8</v>
      </c>
      <c r="N55" s="8" t="n">
        <v>1</v>
      </c>
      <c r="O55" s="8" t="n">
        <v>9</v>
      </c>
      <c r="P55" s="6">
        <f>LOWER(TRIM(C55))</f>
        <v/>
      </c>
      <c r="Q55" s="6">
        <f>IF(I55="true",1,0)</f>
        <v/>
      </c>
      <c r="R55" s="7">
        <f>IF(K55="","",K55)</f>
        <v/>
      </c>
      <c r="S55" s="6">
        <f>IF(OR(H55="",H55&lt;8,H55&gt;72),"",J55)</f>
        <v/>
      </c>
      <c r="T55" s="6">
        <f>IF(OR(P55="lyrics",P55="instrumental"),1,IF(AND(P55="none",COUNTIFS($B$2:$B$479,B55,$P$2:$P$479,"none")&gt;=3),1,0))</f>
        <v/>
      </c>
    </row>
    <row r="56">
      <c r="A56" s="3" t="n">
        <v>19</v>
      </c>
      <c r="B56" s="4" t="inlineStr">
        <is>
          <t>Lotte</t>
        </is>
      </c>
      <c r="C56" s="4" t="inlineStr">
        <is>
          <t>none</t>
        </is>
      </c>
      <c r="D56" s="4" t="inlineStr">
        <is>
          <t>2026-10-11T18:34:13.758Z</t>
        </is>
      </c>
      <c r="E56" s="3" t="n">
        <v>1</v>
      </c>
      <c r="F56" s="4" t="inlineStr">
        <is>
          <t>4 4 8 4 7 1 9 6</t>
        </is>
      </c>
      <c r="G56" s="3" t="n">
        <v>43</v>
      </c>
      <c r="H56" s="3" t="n">
        <v>43</v>
      </c>
      <c r="I56" s="3" t="inlineStr">
        <is>
          <t>true</t>
        </is>
      </c>
      <c r="J56" s="3" t="n">
        <v>0</v>
      </c>
      <c r="K56" s="3" t="n">
        <v>2933</v>
      </c>
      <c r="L56" s="3" t="n">
        <v>8</v>
      </c>
      <c r="M56" s="5" t="n">
        <v>1.8</v>
      </c>
      <c r="N56" s="3" t="n">
        <v>1</v>
      </c>
      <c r="O56" s="3" t="n">
        <v>9</v>
      </c>
      <c r="P56" s="6">
        <f>LOWER(TRIM(C56))</f>
        <v/>
      </c>
      <c r="Q56" s="6">
        <f>IF(I56="true",1,0)</f>
        <v/>
      </c>
      <c r="R56" s="7">
        <f>IF(K56="","",K56)</f>
        <v/>
      </c>
      <c r="S56" s="6">
        <f>IF(OR(H56="",H56&lt;8,H56&gt;72),"",J56)</f>
        <v/>
      </c>
      <c r="T56" s="6">
        <f>IF(OR(P56="lyrics",P56="instrumental"),1,IF(AND(P56="none",COUNTIFS($B$2:$B$479,B56,$P$2:$P$479,"none")&gt;=3),1,0))</f>
        <v/>
      </c>
    </row>
    <row r="57">
      <c r="A57" s="8" t="n">
        <v>19</v>
      </c>
      <c r="B57" s="9" t="inlineStr">
        <is>
          <t>Lotte</t>
        </is>
      </c>
      <c r="C57" s="9" t="inlineStr">
        <is>
          <t>none</t>
        </is>
      </c>
      <c r="D57" s="9" t="inlineStr">
        <is>
          <t>2026-10-11T18:34:13.758Z</t>
        </is>
      </c>
      <c r="E57" s="8" t="n">
        <v>2</v>
      </c>
      <c r="F57" s="9" t="inlineStr">
        <is>
          <t>1 2 8 6 5 6 2 2</t>
        </is>
      </c>
      <c r="G57" s="8" t="n">
        <v>32</v>
      </c>
      <c r="H57" s="8" t="n">
        <v>32</v>
      </c>
      <c r="I57" s="8" t="inlineStr">
        <is>
          <t>true</t>
        </is>
      </c>
      <c r="J57" s="8" t="n">
        <v>0</v>
      </c>
      <c r="K57" s="8" t="n">
        <v>3268</v>
      </c>
      <c r="L57" s="8" t="n">
        <v>8</v>
      </c>
      <c r="M57" s="10" t="n">
        <v>1.8</v>
      </c>
      <c r="N57" s="8" t="n">
        <v>1</v>
      </c>
      <c r="O57" s="8" t="n">
        <v>9</v>
      </c>
      <c r="P57" s="6">
        <f>LOWER(TRIM(C57))</f>
        <v/>
      </c>
      <c r="Q57" s="6">
        <f>IF(I57="true",1,0)</f>
        <v/>
      </c>
      <c r="R57" s="7">
        <f>IF(K57="","",K57)</f>
        <v/>
      </c>
      <c r="S57" s="6">
        <f>IF(OR(H57="",H57&lt;8,H57&gt;72),"",J57)</f>
        <v/>
      </c>
      <c r="T57" s="6">
        <f>IF(OR(P57="lyrics",P57="instrumental"),1,IF(AND(P57="none",COUNTIFS($B$2:$B$479,B57,$P$2:$P$479,"none")&gt;=3),1,0))</f>
        <v/>
      </c>
    </row>
    <row r="58">
      <c r="A58" s="3" t="n">
        <v>19</v>
      </c>
      <c r="B58" s="4" t="inlineStr">
        <is>
          <t>Lotte</t>
        </is>
      </c>
      <c r="C58" s="4" t="inlineStr">
        <is>
          <t>none</t>
        </is>
      </c>
      <c r="D58" s="4" t="inlineStr">
        <is>
          <t>2026-10-11T18:34:13.758Z</t>
        </is>
      </c>
      <c r="E58" s="3" t="n">
        <v>3</v>
      </c>
      <c r="F58" s="4" t="inlineStr">
        <is>
          <t>8 7 8 2 3 1 6 3</t>
        </is>
      </c>
      <c r="G58" s="3" t="n">
        <v>38</v>
      </c>
      <c r="H58" s="3" t="n">
        <v>38</v>
      </c>
      <c r="I58" s="3" t="inlineStr">
        <is>
          <t>true</t>
        </is>
      </c>
      <c r="J58" s="3" t="n">
        <v>0</v>
      </c>
      <c r="K58" s="3" t="n">
        <v>3776</v>
      </c>
      <c r="L58" s="3" t="n">
        <v>8</v>
      </c>
      <c r="M58" s="5" t="n">
        <v>1.8</v>
      </c>
      <c r="N58" s="3" t="n">
        <v>1</v>
      </c>
      <c r="O58" s="3" t="n">
        <v>9</v>
      </c>
      <c r="P58" s="6">
        <f>LOWER(TRIM(C58))</f>
        <v/>
      </c>
      <c r="Q58" s="6">
        <f>IF(I58="true",1,0)</f>
        <v/>
      </c>
      <c r="R58" s="7">
        <f>IF(K58="","",K58)</f>
        <v/>
      </c>
      <c r="S58" s="6">
        <f>IF(OR(H58="",H58&lt;8,H58&gt;72),"",J58)</f>
        <v/>
      </c>
      <c r="T58" s="6">
        <f>IF(OR(P58="lyrics",P58="instrumental"),1,IF(AND(P58="none",COUNTIFS($B$2:$B$479,B58,$P$2:$P$479,"none")&gt;=3),1,0))</f>
        <v/>
      </c>
    </row>
    <row r="59">
      <c r="A59" s="8" t="n">
        <v>20</v>
      </c>
      <c r="B59" s="9" t="inlineStr">
        <is>
          <t>Lotte</t>
        </is>
      </c>
      <c r="C59" s="9" t="inlineStr">
        <is>
          <t>instrumental</t>
        </is>
      </c>
      <c r="D59" s="9" t="inlineStr">
        <is>
          <t>2026-10-11T18:37:12.366Z</t>
        </is>
      </c>
      <c r="E59" s="8" t="n">
        <v>1</v>
      </c>
      <c r="F59" s="9" t="inlineStr">
        <is>
          <t>2 7 8 7 3 2 3 4</t>
        </is>
      </c>
      <c r="G59" s="8" t="n">
        <v>36</v>
      </c>
      <c r="H59" s="8" t="n">
        <v>36</v>
      </c>
      <c r="I59" s="8" t="inlineStr">
        <is>
          <t>true</t>
        </is>
      </c>
      <c r="J59" s="8" t="n">
        <v>0</v>
      </c>
      <c r="K59" s="8" t="n">
        <v>3359</v>
      </c>
      <c r="L59" s="8" t="n">
        <v>8</v>
      </c>
      <c r="M59" s="10" t="n">
        <v>1.8</v>
      </c>
      <c r="N59" s="8" t="n">
        <v>1</v>
      </c>
      <c r="O59" s="8" t="n">
        <v>9</v>
      </c>
      <c r="P59" s="6">
        <f>LOWER(TRIM(C59))</f>
        <v/>
      </c>
      <c r="Q59" s="6">
        <f>IF(I59="true",1,0)</f>
        <v/>
      </c>
      <c r="R59" s="7">
        <f>IF(K59="","",K59)</f>
        <v/>
      </c>
      <c r="S59" s="6">
        <f>IF(OR(H59="",H59&lt;8,H59&gt;72),"",J59)</f>
        <v/>
      </c>
      <c r="T59" s="6">
        <f>IF(OR(P59="lyrics",P59="instrumental"),1,IF(AND(P59="none",COUNTIFS($B$2:$B$479,B59,$P$2:$P$479,"none")&gt;=3),1,0))</f>
        <v/>
      </c>
    </row>
    <row r="60">
      <c r="A60" s="3" t="n">
        <v>20</v>
      </c>
      <c r="B60" s="4" t="inlineStr">
        <is>
          <t>Lotte</t>
        </is>
      </c>
      <c r="C60" s="4" t="inlineStr">
        <is>
          <t>instrumental</t>
        </is>
      </c>
      <c r="D60" s="4" t="inlineStr">
        <is>
          <t>2026-10-11T18:37:12.366Z</t>
        </is>
      </c>
      <c r="E60" s="3" t="n">
        <v>2</v>
      </c>
      <c r="F60" s="4" t="inlineStr">
        <is>
          <t>5 9 3 4 9 1 6 6</t>
        </is>
      </c>
      <c r="G60" s="3" t="n">
        <v>43</v>
      </c>
      <c r="H60" s="3" t="n">
        <v>42</v>
      </c>
      <c r="I60" s="3" t="inlineStr">
        <is>
          <t>false</t>
        </is>
      </c>
      <c r="J60" s="3" t="n">
        <v>1</v>
      </c>
      <c r="K60" s="3" t="n">
        <v>4026</v>
      </c>
      <c r="L60" s="3" t="n">
        <v>8</v>
      </c>
      <c r="M60" s="5" t="n">
        <v>1.8</v>
      </c>
      <c r="N60" s="3" t="n">
        <v>1</v>
      </c>
      <c r="O60" s="3" t="n">
        <v>9</v>
      </c>
      <c r="P60" s="6">
        <f>LOWER(TRIM(C60))</f>
        <v/>
      </c>
      <c r="Q60" s="6">
        <f>IF(I60="true",1,0)</f>
        <v/>
      </c>
      <c r="R60" s="7">
        <f>IF(K60="","",K60)</f>
        <v/>
      </c>
      <c r="S60" s="6">
        <f>IF(OR(H60="",H60&lt;8,H60&gt;72),"",J60)</f>
        <v/>
      </c>
      <c r="T60" s="6">
        <f>IF(OR(P60="lyrics",P60="instrumental"),1,IF(AND(P60="none",COUNTIFS($B$2:$B$479,B60,$P$2:$P$479,"none")&gt;=3),1,0))</f>
        <v/>
      </c>
    </row>
    <row r="61">
      <c r="A61" s="8" t="n">
        <v>20</v>
      </c>
      <c r="B61" s="9" t="inlineStr">
        <is>
          <t>Lotte</t>
        </is>
      </c>
      <c r="C61" s="9" t="inlineStr">
        <is>
          <t>instrumental</t>
        </is>
      </c>
      <c r="D61" s="9" t="inlineStr">
        <is>
          <t>2026-10-11T18:37:12.366Z</t>
        </is>
      </c>
      <c r="E61" s="8" t="n">
        <v>3</v>
      </c>
      <c r="F61" s="9" t="inlineStr">
        <is>
          <t>5 3 4 7 1 2 3 4</t>
        </is>
      </c>
      <c r="G61" s="8" t="n">
        <v>29</v>
      </c>
      <c r="H61" s="8" t="n">
        <v>32</v>
      </c>
      <c r="I61" s="8" t="inlineStr">
        <is>
          <t>false</t>
        </is>
      </c>
      <c r="J61" s="8" t="n">
        <v>3</v>
      </c>
      <c r="K61" s="8" t="n">
        <v>3441</v>
      </c>
      <c r="L61" s="8" t="n">
        <v>8</v>
      </c>
      <c r="M61" s="10" t="n">
        <v>1.8</v>
      </c>
      <c r="N61" s="8" t="n">
        <v>1</v>
      </c>
      <c r="O61" s="8" t="n">
        <v>9</v>
      </c>
      <c r="P61" s="6">
        <f>LOWER(TRIM(C61))</f>
        <v/>
      </c>
      <c r="Q61" s="6">
        <f>IF(I61="true",1,0)</f>
        <v/>
      </c>
      <c r="R61" s="7">
        <f>IF(K61="","",K61)</f>
        <v/>
      </c>
      <c r="S61" s="6">
        <f>IF(OR(H61="",H61&lt;8,H61&gt;72),"",J61)</f>
        <v/>
      </c>
      <c r="T61" s="6">
        <f>IF(OR(P61="lyrics",P61="instrumental"),1,IF(AND(P61="none",COUNTIFS($B$2:$B$479,B61,$P$2:$P$479,"none")&gt;=3),1,0))</f>
        <v/>
      </c>
    </row>
    <row r="62">
      <c r="A62" s="3" t="n">
        <v>21</v>
      </c>
      <c r="B62" s="4" t="inlineStr">
        <is>
          <t>Lotte</t>
        </is>
      </c>
      <c r="C62" s="4" t="inlineStr">
        <is>
          <t>lyrics</t>
        </is>
      </c>
      <c r="D62" s="4" t="inlineStr">
        <is>
          <t>2026-10-11T18:40:28.661Z</t>
        </is>
      </c>
      <c r="E62" s="3" t="n">
        <v>1</v>
      </c>
      <c r="F62" s="4" t="inlineStr">
        <is>
          <t>9 7 2 8 5 2 7 8</t>
        </is>
      </c>
      <c r="G62" s="3" t="n">
        <v>48</v>
      </c>
      <c r="H62" s="3" t="n">
        <v>48</v>
      </c>
      <c r="I62" s="3" t="inlineStr">
        <is>
          <t>true</t>
        </is>
      </c>
      <c r="J62" s="3" t="n">
        <v>0</v>
      </c>
      <c r="K62" s="3" t="n">
        <v>3647</v>
      </c>
      <c r="L62" s="3" t="n">
        <v>8</v>
      </c>
      <c r="M62" s="5" t="n">
        <v>1.8</v>
      </c>
      <c r="N62" s="3" t="n">
        <v>1</v>
      </c>
      <c r="O62" s="3" t="n">
        <v>9</v>
      </c>
      <c r="P62" s="6">
        <f>LOWER(TRIM(C62))</f>
        <v/>
      </c>
      <c r="Q62" s="6">
        <f>IF(I62="true",1,0)</f>
        <v/>
      </c>
      <c r="R62" s="7">
        <f>IF(K62="","",K62)</f>
        <v/>
      </c>
      <c r="S62" s="6">
        <f>IF(OR(H62="",H62&lt;8,H62&gt;72),"",J62)</f>
        <v/>
      </c>
      <c r="T62" s="6">
        <f>IF(OR(P62="lyrics",P62="instrumental"),1,IF(AND(P62="none",COUNTIFS($B$2:$B$479,B62,$P$2:$P$479,"none")&gt;=3),1,0))</f>
        <v/>
      </c>
    </row>
    <row r="63">
      <c r="A63" s="8" t="n">
        <v>21</v>
      </c>
      <c r="B63" s="9" t="inlineStr">
        <is>
          <t>Lotte</t>
        </is>
      </c>
      <c r="C63" s="9" t="inlineStr">
        <is>
          <t>lyrics</t>
        </is>
      </c>
      <c r="D63" s="9" t="inlineStr">
        <is>
          <t>2026-10-11T18:40:28.661Z</t>
        </is>
      </c>
      <c r="E63" s="8" t="n">
        <v>2</v>
      </c>
      <c r="F63" s="9" t="inlineStr">
        <is>
          <t>4 5 1 2 1 9 6 7</t>
        </is>
      </c>
      <c r="G63" s="8" t="n">
        <v>35</v>
      </c>
      <c r="H63" s="8" t="n">
        <v>36</v>
      </c>
      <c r="I63" s="8" t="inlineStr">
        <is>
          <t>false</t>
        </is>
      </c>
      <c r="J63" s="8" t="n">
        <v>1</v>
      </c>
      <c r="K63" s="8" t="n">
        <v>4362</v>
      </c>
      <c r="L63" s="8" t="n">
        <v>8</v>
      </c>
      <c r="M63" s="10" t="n">
        <v>1.8</v>
      </c>
      <c r="N63" s="8" t="n">
        <v>1</v>
      </c>
      <c r="O63" s="8" t="n">
        <v>9</v>
      </c>
      <c r="P63" s="6">
        <f>LOWER(TRIM(C63))</f>
        <v/>
      </c>
      <c r="Q63" s="6">
        <f>IF(I63="true",1,0)</f>
        <v/>
      </c>
      <c r="R63" s="7">
        <f>IF(K63="","",K63)</f>
        <v/>
      </c>
      <c r="S63" s="6">
        <f>IF(OR(H63="",H63&lt;8,H63&gt;72),"",J63)</f>
        <v/>
      </c>
      <c r="T63" s="6">
        <f>IF(OR(P63="lyrics",P63="instrumental"),1,IF(AND(P63="none",COUNTIFS($B$2:$B$479,B63,$P$2:$P$479,"none")&gt;=3),1,0))</f>
        <v/>
      </c>
    </row>
    <row r="64">
      <c r="A64" s="3" t="n">
        <v>21</v>
      </c>
      <c r="B64" s="4" t="inlineStr">
        <is>
          <t>Lotte</t>
        </is>
      </c>
      <c r="C64" s="4" t="inlineStr">
        <is>
          <t>lyrics</t>
        </is>
      </c>
      <c r="D64" s="4" t="inlineStr">
        <is>
          <t>2026-10-11T18:40:28.661Z</t>
        </is>
      </c>
      <c r="E64" s="3" t="n">
        <v>3</v>
      </c>
      <c r="F64" s="4" t="inlineStr">
        <is>
          <t>6 1 3 2 9 8 1 9</t>
        </is>
      </c>
      <c r="G64" s="3" t="n">
        <v>39</v>
      </c>
      <c r="H64" s="3" t="n">
        <v>37</v>
      </c>
      <c r="I64" s="3" t="inlineStr">
        <is>
          <t>false</t>
        </is>
      </c>
      <c r="J64" s="3" t="n">
        <v>2</v>
      </c>
      <c r="K64" s="3" t="n">
        <v>4618</v>
      </c>
      <c r="L64" s="3" t="n">
        <v>8</v>
      </c>
      <c r="M64" s="5" t="n">
        <v>1.8</v>
      </c>
      <c r="N64" s="3" t="n">
        <v>1</v>
      </c>
      <c r="O64" s="3" t="n">
        <v>9</v>
      </c>
      <c r="P64" s="6">
        <f>LOWER(TRIM(C64))</f>
        <v/>
      </c>
      <c r="Q64" s="6">
        <f>IF(I64="true",1,0)</f>
        <v/>
      </c>
      <c r="R64" s="7">
        <f>IF(K64="","",K64)</f>
        <v/>
      </c>
      <c r="S64" s="6">
        <f>IF(OR(H64="",H64&lt;8,H64&gt;72),"",J64)</f>
        <v/>
      </c>
      <c r="T64" s="6">
        <f>IF(OR(P64="lyrics",P64="instrumental"),1,IF(AND(P64="none",COUNTIFS($B$2:$B$479,B64,$P$2:$P$479,"none")&gt;=3),1,0))</f>
        <v/>
      </c>
    </row>
    <row r="65">
      <c r="A65" s="8" t="n">
        <v>22</v>
      </c>
      <c r="B65" s="9" t="inlineStr">
        <is>
          <t>Lotte Jr</t>
        </is>
      </c>
      <c r="C65" s="9" t="inlineStr">
        <is>
          <t>none</t>
        </is>
      </c>
      <c r="D65" s="9" t="inlineStr">
        <is>
          <t>2026-10-11T18:41:59.908Z</t>
        </is>
      </c>
      <c r="E65" s="8" t="n">
        <v>1</v>
      </c>
      <c r="F65" s="9" t="inlineStr">
        <is>
          <t>4 9 4 5 2 7 1 4</t>
        </is>
      </c>
      <c r="G65" s="8" t="n">
        <v>36</v>
      </c>
      <c r="H65" s="8" t="n">
        <v>33</v>
      </c>
      <c r="I65" s="8" t="inlineStr">
        <is>
          <t>false</t>
        </is>
      </c>
      <c r="J65" s="8" t="n">
        <v>3</v>
      </c>
      <c r="K65" s="8" t="n">
        <v>3314</v>
      </c>
      <c r="L65" s="8" t="n">
        <v>8</v>
      </c>
      <c r="M65" s="10" t="n">
        <v>1.8</v>
      </c>
      <c r="N65" s="8" t="n">
        <v>1</v>
      </c>
      <c r="O65" s="8" t="n">
        <v>9</v>
      </c>
      <c r="P65" s="6">
        <f>LOWER(TRIM(C65))</f>
        <v/>
      </c>
      <c r="Q65" s="6">
        <f>IF(I65="true",1,0)</f>
        <v/>
      </c>
      <c r="R65" s="7">
        <f>IF(K65="","",K65)</f>
        <v/>
      </c>
      <c r="S65" s="6">
        <f>IF(OR(H65="",H65&lt;8,H65&gt;72),"",J65)</f>
        <v/>
      </c>
      <c r="T65" s="6">
        <f>IF(OR(P65="lyrics",P65="instrumental"),1,IF(AND(P65="none",COUNTIFS($B$2:$B$479,B65,$P$2:$P$479,"none")&gt;=3),1,0))</f>
        <v/>
      </c>
    </row>
    <row r="66">
      <c r="A66" s="3" t="n">
        <v>22</v>
      </c>
      <c r="B66" s="4" t="inlineStr">
        <is>
          <t>Lotte Jr</t>
        </is>
      </c>
      <c r="C66" s="4" t="inlineStr">
        <is>
          <t>none</t>
        </is>
      </c>
      <c r="D66" s="4" t="inlineStr">
        <is>
          <t>2026-10-11T18:41:59.908Z</t>
        </is>
      </c>
      <c r="E66" s="3" t="n">
        <v>2</v>
      </c>
      <c r="F66" s="4" t="inlineStr">
        <is>
          <t>9 5 4 1 6 6 9 7</t>
        </is>
      </c>
      <c r="G66" s="3" t="n">
        <v>47</v>
      </c>
      <c r="H66" s="3" t="n">
        <v>47</v>
      </c>
      <c r="I66" s="3" t="inlineStr">
        <is>
          <t>true</t>
        </is>
      </c>
      <c r="J66" s="3" t="n">
        <v>0</v>
      </c>
      <c r="K66" s="3" t="n">
        <v>2907</v>
      </c>
      <c r="L66" s="3" t="n">
        <v>8</v>
      </c>
      <c r="M66" s="5" t="n">
        <v>1.8</v>
      </c>
      <c r="N66" s="3" t="n">
        <v>1</v>
      </c>
      <c r="O66" s="3" t="n">
        <v>9</v>
      </c>
      <c r="P66" s="6">
        <f>LOWER(TRIM(C66))</f>
        <v/>
      </c>
      <c r="Q66" s="6">
        <f>IF(I66="true",1,0)</f>
        <v/>
      </c>
      <c r="R66" s="7">
        <f>IF(K66="","",K66)</f>
        <v/>
      </c>
      <c r="S66" s="6">
        <f>IF(OR(H66="",H66&lt;8,H66&gt;72),"",J66)</f>
        <v/>
      </c>
      <c r="T66" s="6">
        <f>IF(OR(P66="lyrics",P66="instrumental"),1,IF(AND(P66="none",COUNTIFS($B$2:$B$479,B66,$P$2:$P$479,"none")&gt;=3),1,0))</f>
        <v/>
      </c>
    </row>
    <row r="67">
      <c r="A67" s="8" t="n">
        <v>22</v>
      </c>
      <c r="B67" s="9" t="inlineStr">
        <is>
          <t>Lotte Jr</t>
        </is>
      </c>
      <c r="C67" s="9" t="inlineStr">
        <is>
          <t>none</t>
        </is>
      </c>
      <c r="D67" s="9" t="inlineStr">
        <is>
          <t>2026-10-11T18:41:59.908Z</t>
        </is>
      </c>
      <c r="E67" s="8" t="n">
        <v>3</v>
      </c>
      <c r="F67" s="9" t="inlineStr">
        <is>
          <t>5 3 1 5 1 9 1 5</t>
        </is>
      </c>
      <c r="G67" s="8" t="n">
        <v>30</v>
      </c>
      <c r="H67" s="8" t="n">
        <v>30</v>
      </c>
      <c r="I67" s="8" t="inlineStr">
        <is>
          <t>true</t>
        </is>
      </c>
      <c r="J67" s="8" t="n">
        <v>0</v>
      </c>
      <c r="K67" s="8" t="n">
        <v>3020</v>
      </c>
      <c r="L67" s="8" t="n">
        <v>8</v>
      </c>
      <c r="M67" s="10" t="n">
        <v>1.8</v>
      </c>
      <c r="N67" s="8" t="n">
        <v>1</v>
      </c>
      <c r="O67" s="8" t="n">
        <v>9</v>
      </c>
      <c r="P67" s="6">
        <f>LOWER(TRIM(C67))</f>
        <v/>
      </c>
      <c r="Q67" s="6">
        <f>IF(I67="true",1,0)</f>
        <v/>
      </c>
      <c r="R67" s="7">
        <f>IF(K67="","",K67)</f>
        <v/>
      </c>
      <c r="S67" s="6">
        <f>IF(OR(H67="",H67&lt;8,H67&gt;72),"",J67)</f>
        <v/>
      </c>
      <c r="T67" s="6">
        <f>IF(OR(P67="lyrics",P67="instrumental"),1,IF(AND(P67="none",COUNTIFS($B$2:$B$479,B67,$P$2:$P$479,"none")&gt;=3),1,0))</f>
        <v/>
      </c>
    </row>
    <row r="68">
      <c r="A68" s="3" t="n">
        <v>23</v>
      </c>
      <c r="B68" s="4" t="inlineStr">
        <is>
          <t>Lotte Jr</t>
        </is>
      </c>
      <c r="C68" s="4" t="inlineStr">
        <is>
          <t>instrumental</t>
        </is>
      </c>
      <c r="D68" s="4" t="inlineStr">
        <is>
          <t>2026-10-11T18:44:27.816Z</t>
        </is>
      </c>
      <c r="E68" s="3" t="n">
        <v>1</v>
      </c>
      <c r="F68" s="4" t="inlineStr">
        <is>
          <t>9 4 1 3 1 9 3 6</t>
        </is>
      </c>
      <c r="G68" s="3" t="n">
        <v>36</v>
      </c>
      <c r="H68" s="3" t="n">
        <v>36</v>
      </c>
      <c r="I68" s="3" t="inlineStr">
        <is>
          <t>true</t>
        </is>
      </c>
      <c r="J68" s="3" t="n">
        <v>0</v>
      </c>
      <c r="K68" s="3" t="n">
        <v>3016</v>
      </c>
      <c r="L68" s="3" t="n">
        <v>8</v>
      </c>
      <c r="M68" s="5" t="n">
        <v>1.8</v>
      </c>
      <c r="N68" s="3" t="n">
        <v>1</v>
      </c>
      <c r="O68" s="3" t="n">
        <v>9</v>
      </c>
      <c r="P68" s="6">
        <f>LOWER(TRIM(C68))</f>
        <v/>
      </c>
      <c r="Q68" s="6">
        <f>IF(I68="true",1,0)</f>
        <v/>
      </c>
      <c r="R68" s="7">
        <f>IF(K68="","",K68)</f>
        <v/>
      </c>
      <c r="S68" s="6">
        <f>IF(OR(H68="",H68&lt;8,H68&gt;72),"",J68)</f>
        <v/>
      </c>
      <c r="T68" s="6">
        <f>IF(OR(P68="lyrics",P68="instrumental"),1,IF(AND(P68="none",COUNTIFS($B$2:$B$479,B68,$P$2:$P$479,"none")&gt;=3),1,0))</f>
        <v/>
      </c>
    </row>
    <row r="69">
      <c r="A69" s="8" t="n">
        <v>23</v>
      </c>
      <c r="B69" s="9" t="inlineStr">
        <is>
          <t>Lotte Jr</t>
        </is>
      </c>
      <c r="C69" s="9" t="inlineStr">
        <is>
          <t>instrumental</t>
        </is>
      </c>
      <c r="D69" s="9" t="inlineStr">
        <is>
          <t>2026-10-11T18:44:27.816Z</t>
        </is>
      </c>
      <c r="E69" s="8" t="n">
        <v>2</v>
      </c>
      <c r="F69" s="9" t="inlineStr">
        <is>
          <t>6 5 3 6 8 8 4 9</t>
        </is>
      </c>
      <c r="G69" s="8" t="n">
        <v>49</v>
      </c>
      <c r="H69" s="8" t="n">
        <v>49</v>
      </c>
      <c r="I69" s="8" t="inlineStr">
        <is>
          <t>true</t>
        </is>
      </c>
      <c r="J69" s="8" t="n">
        <v>0</v>
      </c>
      <c r="K69" s="8" t="n">
        <v>2602</v>
      </c>
      <c r="L69" s="8" t="n">
        <v>8</v>
      </c>
      <c r="M69" s="10" t="n">
        <v>1.8</v>
      </c>
      <c r="N69" s="8" t="n">
        <v>1</v>
      </c>
      <c r="O69" s="8" t="n">
        <v>9</v>
      </c>
      <c r="P69" s="6">
        <f>LOWER(TRIM(C69))</f>
        <v/>
      </c>
      <c r="Q69" s="6">
        <f>IF(I69="true",1,0)</f>
        <v/>
      </c>
      <c r="R69" s="7">
        <f>IF(K69="","",K69)</f>
        <v/>
      </c>
      <c r="S69" s="6">
        <f>IF(OR(H69="",H69&lt;8,H69&gt;72),"",J69)</f>
        <v/>
      </c>
      <c r="T69" s="6">
        <f>IF(OR(P69="lyrics",P69="instrumental"),1,IF(AND(P69="none",COUNTIFS($B$2:$B$479,B69,$P$2:$P$479,"none")&gt;=3),1,0))</f>
        <v/>
      </c>
    </row>
    <row r="70">
      <c r="A70" s="3" t="n">
        <v>23</v>
      </c>
      <c r="B70" s="4" t="inlineStr">
        <is>
          <t>Lotte Jr</t>
        </is>
      </c>
      <c r="C70" s="4" t="inlineStr">
        <is>
          <t>instrumental</t>
        </is>
      </c>
      <c r="D70" s="4" t="inlineStr">
        <is>
          <t>2026-10-11T18:44:27.816Z</t>
        </is>
      </c>
      <c r="E70" s="3" t="n">
        <v>3</v>
      </c>
      <c r="F70" s="4" t="inlineStr">
        <is>
          <t>9 6 2 9 5 1 5 6</t>
        </is>
      </c>
      <c r="G70" s="3" t="n">
        <v>43</v>
      </c>
      <c r="H70" s="3" t="n">
        <v>43</v>
      </c>
      <c r="I70" s="3" t="inlineStr">
        <is>
          <t>true</t>
        </is>
      </c>
      <c r="J70" s="3" t="n">
        <v>0</v>
      </c>
      <c r="K70" s="3" t="n">
        <v>3062</v>
      </c>
      <c r="L70" s="3" t="n">
        <v>8</v>
      </c>
      <c r="M70" s="5" t="n">
        <v>1.8</v>
      </c>
      <c r="N70" s="3" t="n">
        <v>1</v>
      </c>
      <c r="O70" s="3" t="n">
        <v>9</v>
      </c>
      <c r="P70" s="6">
        <f>LOWER(TRIM(C70))</f>
        <v/>
      </c>
      <c r="Q70" s="6">
        <f>IF(I70="true",1,0)</f>
        <v/>
      </c>
      <c r="R70" s="7">
        <f>IF(K70="","",K70)</f>
        <v/>
      </c>
      <c r="S70" s="6">
        <f>IF(OR(H70="",H70&lt;8,H70&gt;72),"",J70)</f>
        <v/>
      </c>
      <c r="T70" s="6">
        <f>IF(OR(P70="lyrics",P70="instrumental"),1,IF(AND(P70="none",COUNTIFS($B$2:$B$479,B70,$P$2:$P$479,"none")&gt;=3),1,0))</f>
        <v/>
      </c>
    </row>
    <row r="71">
      <c r="A71" s="8" t="n">
        <v>24</v>
      </c>
      <c r="B71" s="9" t="inlineStr">
        <is>
          <t>Lotte Jr</t>
        </is>
      </c>
      <c r="C71" s="9" t="inlineStr">
        <is>
          <t>lyrics</t>
        </is>
      </c>
      <c r="D71" s="9" t="inlineStr">
        <is>
          <t>2026-10-11T18:47:37.526Z</t>
        </is>
      </c>
      <c r="E71" s="8" t="n">
        <v>1</v>
      </c>
      <c r="F71" s="9" t="inlineStr">
        <is>
          <t>7 9 4 1 1 3 9 1</t>
        </is>
      </c>
      <c r="G71" s="8" t="n">
        <v>35</v>
      </c>
      <c r="H71" s="8" t="n">
        <v>35</v>
      </c>
      <c r="I71" s="8" t="inlineStr">
        <is>
          <t>true</t>
        </is>
      </c>
      <c r="J71" s="8" t="n">
        <v>0</v>
      </c>
      <c r="K71" s="8" t="n">
        <v>3569</v>
      </c>
      <c r="L71" s="8" t="n">
        <v>8</v>
      </c>
      <c r="M71" s="10" t="n">
        <v>1.8</v>
      </c>
      <c r="N71" s="8" t="n">
        <v>1</v>
      </c>
      <c r="O71" s="8" t="n">
        <v>9</v>
      </c>
      <c r="P71" s="6">
        <f>LOWER(TRIM(C71))</f>
        <v/>
      </c>
      <c r="Q71" s="6">
        <f>IF(I71="true",1,0)</f>
        <v/>
      </c>
      <c r="R71" s="7">
        <f>IF(K71="","",K71)</f>
        <v/>
      </c>
      <c r="S71" s="6">
        <f>IF(OR(H71="",H71&lt;8,H71&gt;72),"",J71)</f>
        <v/>
      </c>
      <c r="T71" s="6">
        <f>IF(OR(P71="lyrics",P71="instrumental"),1,IF(AND(P71="none",COUNTIFS($B$2:$B$479,B71,$P$2:$P$479,"none")&gt;=3),1,0))</f>
        <v/>
      </c>
    </row>
    <row r="72">
      <c r="A72" s="3" t="n">
        <v>24</v>
      </c>
      <c r="B72" s="4" t="inlineStr">
        <is>
          <t>Lotte Jr</t>
        </is>
      </c>
      <c r="C72" s="4" t="inlineStr">
        <is>
          <t>lyrics</t>
        </is>
      </c>
      <c r="D72" s="4" t="inlineStr">
        <is>
          <t>2026-10-11T18:47:37.526Z</t>
        </is>
      </c>
      <c r="E72" s="3" t="n">
        <v>2</v>
      </c>
      <c r="F72" s="4" t="inlineStr">
        <is>
          <t>6 9 4 7 9 4 8 8</t>
        </is>
      </c>
      <c r="G72" s="3" t="n">
        <v>55</v>
      </c>
      <c r="H72" s="3" t="n">
        <v>55</v>
      </c>
      <c r="I72" s="3" t="inlineStr">
        <is>
          <t>true</t>
        </is>
      </c>
      <c r="J72" s="3" t="n">
        <v>0</v>
      </c>
      <c r="K72" s="3" t="n">
        <v>2884</v>
      </c>
      <c r="L72" s="3" t="n">
        <v>8</v>
      </c>
      <c r="M72" s="5" t="n">
        <v>1.8</v>
      </c>
      <c r="N72" s="3" t="n">
        <v>1</v>
      </c>
      <c r="O72" s="3" t="n">
        <v>9</v>
      </c>
      <c r="P72" s="6">
        <f>LOWER(TRIM(C72))</f>
        <v/>
      </c>
      <c r="Q72" s="6">
        <f>IF(I72="true",1,0)</f>
        <v/>
      </c>
      <c r="R72" s="7">
        <f>IF(K72="","",K72)</f>
        <v/>
      </c>
      <c r="S72" s="6">
        <f>IF(OR(H72="",H72&lt;8,H72&gt;72),"",J72)</f>
        <v/>
      </c>
      <c r="T72" s="6">
        <f>IF(OR(P72="lyrics",P72="instrumental"),1,IF(AND(P72="none",COUNTIFS($B$2:$B$479,B72,$P$2:$P$479,"none")&gt;=3),1,0))</f>
        <v/>
      </c>
    </row>
    <row r="73">
      <c r="A73" s="8" t="n">
        <v>24</v>
      </c>
      <c r="B73" s="9" t="inlineStr">
        <is>
          <t>Lotte Jr</t>
        </is>
      </c>
      <c r="C73" s="9" t="inlineStr">
        <is>
          <t>lyrics</t>
        </is>
      </c>
      <c r="D73" s="9" t="inlineStr">
        <is>
          <t>2026-10-11T18:47:37.526Z</t>
        </is>
      </c>
      <c r="E73" s="8" t="n">
        <v>3</v>
      </c>
      <c r="F73" s="9" t="inlineStr">
        <is>
          <t>9 7 8 2 7 9 6 7</t>
        </is>
      </c>
      <c r="G73" s="8" t="n">
        <v>55</v>
      </c>
      <c r="H73" s="8" t="n">
        <v>55</v>
      </c>
      <c r="I73" s="8" t="inlineStr">
        <is>
          <t>true</t>
        </is>
      </c>
      <c r="J73" s="8" t="n">
        <v>0</v>
      </c>
      <c r="K73" s="8" t="n">
        <v>3878</v>
      </c>
      <c r="L73" s="8" t="n">
        <v>8</v>
      </c>
      <c r="M73" s="10" t="n">
        <v>1.8</v>
      </c>
      <c r="N73" s="8" t="n">
        <v>1</v>
      </c>
      <c r="O73" s="8" t="n">
        <v>9</v>
      </c>
      <c r="P73" s="6">
        <f>LOWER(TRIM(C73))</f>
        <v/>
      </c>
      <c r="Q73" s="6">
        <f>IF(I73="true",1,0)</f>
        <v/>
      </c>
      <c r="R73" s="7">
        <f>IF(K73="","",K73)</f>
        <v/>
      </c>
      <c r="S73" s="6">
        <f>IF(OR(H73="",H73&lt;8,H73&gt;72),"",J73)</f>
        <v/>
      </c>
      <c r="T73" s="6">
        <f>IF(OR(P73="lyrics",P73="instrumental"),1,IF(AND(P73="none",COUNTIFS($B$2:$B$479,B73,$P$2:$P$479,"none")&gt;=3),1,0))</f>
        <v/>
      </c>
    </row>
    <row r="74">
      <c r="A74" s="3" t="n">
        <v>25</v>
      </c>
      <c r="B74" s="4" t="inlineStr">
        <is>
          <t>Participant 1</t>
        </is>
      </c>
      <c r="C74" s="4" t="inlineStr">
        <is>
          <t>none</t>
        </is>
      </c>
      <c r="D74" s="4" t="inlineStr">
        <is>
          <t>2026-10-10T10:53:51.090Z</t>
        </is>
      </c>
      <c r="E74" s="3" t="n">
        <v>1</v>
      </c>
      <c r="F74" s="4" t="inlineStr">
        <is>
          <t>9 7 9 1 4 7 9 8</t>
        </is>
      </c>
      <c r="G74" s="3" t="n">
        <v>54</v>
      </c>
      <c r="H74" s="3" t="n">
        <v>55</v>
      </c>
      <c r="I74" s="3" t="inlineStr">
        <is>
          <t>false</t>
        </is>
      </c>
      <c r="J74" s="3" t="n">
        <v>1</v>
      </c>
      <c r="K74" s="3" t="n">
        <v>7098</v>
      </c>
      <c r="L74" s="3" t="n">
        <v>8</v>
      </c>
      <c r="M74" s="5" t="n">
        <v>1.8</v>
      </c>
      <c r="N74" s="3" t="n">
        <v>1</v>
      </c>
      <c r="O74" s="3" t="n">
        <v>9</v>
      </c>
      <c r="P74" s="6">
        <f>LOWER(TRIM(C74))</f>
        <v/>
      </c>
      <c r="Q74" s="6">
        <f>IF(I74="true",1,0)</f>
        <v/>
      </c>
      <c r="R74" s="7">
        <f>IF(K74="","",K74)</f>
        <v/>
      </c>
      <c r="S74" s="6">
        <f>IF(OR(H74="",H74&lt;8,H74&gt;72),"",J74)</f>
        <v/>
      </c>
      <c r="T74" s="6">
        <f>IF(OR(P74="lyrics",P74="instrumental"),1,IF(AND(P74="none",COUNTIFS($B$2:$B$479,B74,$P$2:$P$479,"none")&gt;=3),1,0))</f>
        <v/>
      </c>
    </row>
    <row r="75">
      <c r="A75" s="8" t="n">
        <v>25</v>
      </c>
      <c r="B75" s="9" t="inlineStr">
        <is>
          <t>Participant 1</t>
        </is>
      </c>
      <c r="C75" s="9" t="inlineStr">
        <is>
          <t>none</t>
        </is>
      </c>
      <c r="D75" s="9" t="inlineStr">
        <is>
          <t>2026-10-10T10:53:51.090Z</t>
        </is>
      </c>
      <c r="E75" s="8" t="n">
        <v>2</v>
      </c>
      <c r="F75" s="9" t="inlineStr">
        <is>
          <t>9 6 1 9 6 4 6 9</t>
        </is>
      </c>
      <c r="G75" s="8" t="n">
        <v>50</v>
      </c>
      <c r="H75" s="8" t="n">
        <v>48</v>
      </c>
      <c r="I75" s="8" t="inlineStr">
        <is>
          <t>false</t>
        </is>
      </c>
      <c r="J75" s="8" t="n">
        <v>2</v>
      </c>
      <c r="K75" s="8" t="n">
        <v>2447</v>
      </c>
      <c r="L75" s="8" t="n">
        <v>8</v>
      </c>
      <c r="M75" s="10" t="n">
        <v>1.8</v>
      </c>
      <c r="N75" s="8" t="n">
        <v>1</v>
      </c>
      <c r="O75" s="8" t="n">
        <v>9</v>
      </c>
      <c r="P75" s="6">
        <f>LOWER(TRIM(C75))</f>
        <v/>
      </c>
      <c r="Q75" s="6">
        <f>IF(I75="true",1,0)</f>
        <v/>
      </c>
      <c r="R75" s="7">
        <f>IF(K75="","",K75)</f>
        <v/>
      </c>
      <c r="S75" s="6">
        <f>IF(OR(H75="",H75&lt;8,H75&gt;72),"",J75)</f>
        <v/>
      </c>
      <c r="T75" s="6">
        <f>IF(OR(P75="lyrics",P75="instrumental"),1,IF(AND(P75="none",COUNTIFS($B$2:$B$479,B75,$P$2:$P$479,"none")&gt;=3),1,0))</f>
        <v/>
      </c>
    </row>
    <row r="76">
      <c r="A76" s="3" t="n">
        <v>26</v>
      </c>
      <c r="B76" s="4" t="inlineStr">
        <is>
          <t>Participant 1</t>
        </is>
      </c>
      <c r="C76" s="4" t="inlineStr">
        <is>
          <t>lyrics</t>
        </is>
      </c>
      <c r="D76" s="4" t="inlineStr">
        <is>
          <t>2026-10-10T10:55:41.068Z</t>
        </is>
      </c>
      <c r="E76" s="3" t="n">
        <v>1</v>
      </c>
      <c r="F76" s="4" t="inlineStr">
        <is>
          <t>6 5 4 5 9 9 5 7</t>
        </is>
      </c>
      <c r="G76" s="3" t="n">
        <v>50</v>
      </c>
      <c r="H76" s="3" t="n">
        <v>50</v>
      </c>
      <c r="I76" s="3" t="inlineStr">
        <is>
          <t>true</t>
        </is>
      </c>
      <c r="J76" s="3" t="n">
        <v>0</v>
      </c>
      <c r="K76" s="3" t="n">
        <v>1987</v>
      </c>
      <c r="L76" s="3" t="n">
        <v>8</v>
      </c>
      <c r="M76" s="5" t="n">
        <v>1.8</v>
      </c>
      <c r="N76" s="3" t="n">
        <v>1</v>
      </c>
      <c r="O76" s="3" t="n">
        <v>9</v>
      </c>
      <c r="P76" s="6">
        <f>LOWER(TRIM(C76))</f>
        <v/>
      </c>
      <c r="Q76" s="6">
        <f>IF(I76="true",1,0)</f>
        <v/>
      </c>
      <c r="R76" s="7">
        <f>IF(K76="","",K76)</f>
        <v/>
      </c>
      <c r="S76" s="6">
        <f>IF(OR(H76="",H76&lt;8,H76&gt;72),"",J76)</f>
        <v/>
      </c>
      <c r="T76" s="6">
        <f>IF(OR(P76="lyrics",P76="instrumental"),1,IF(AND(P76="none",COUNTIFS($B$2:$B$479,B76,$P$2:$P$479,"none")&gt;=3),1,0))</f>
        <v/>
      </c>
    </row>
    <row r="77">
      <c r="A77" s="8" t="n">
        <v>26</v>
      </c>
      <c r="B77" s="9" t="inlineStr">
        <is>
          <t>Participant 1</t>
        </is>
      </c>
      <c r="C77" s="9" t="inlineStr">
        <is>
          <t>lyrics</t>
        </is>
      </c>
      <c r="D77" s="9" t="inlineStr">
        <is>
          <t>2026-10-10T10:55:41.068Z</t>
        </is>
      </c>
      <c r="E77" s="8" t="n">
        <v>2</v>
      </c>
      <c r="F77" s="9" t="inlineStr">
        <is>
          <t>3 5 2 8 3 4 1 1</t>
        </is>
      </c>
      <c r="G77" s="8" t="n">
        <v>27</v>
      </c>
      <c r="H77" s="8" t="n">
        <v>27</v>
      </c>
      <c r="I77" s="8" t="inlineStr">
        <is>
          <t>true</t>
        </is>
      </c>
      <c r="J77" s="8" t="n">
        <v>0</v>
      </c>
      <c r="K77" s="8" t="n">
        <v>2085</v>
      </c>
      <c r="L77" s="8" t="n">
        <v>8</v>
      </c>
      <c r="M77" s="10" t="n">
        <v>1.8</v>
      </c>
      <c r="N77" s="8" t="n">
        <v>1</v>
      </c>
      <c r="O77" s="8" t="n">
        <v>9</v>
      </c>
      <c r="P77" s="6">
        <f>LOWER(TRIM(C77))</f>
        <v/>
      </c>
      <c r="Q77" s="6">
        <f>IF(I77="true",1,0)</f>
        <v/>
      </c>
      <c r="R77" s="7">
        <f>IF(K77="","",K77)</f>
        <v/>
      </c>
      <c r="S77" s="6">
        <f>IF(OR(H77="",H77&lt;8,H77&gt;72),"",J77)</f>
        <v/>
      </c>
      <c r="T77" s="6">
        <f>IF(OR(P77="lyrics",P77="instrumental"),1,IF(AND(P77="none",COUNTIFS($B$2:$B$479,B77,$P$2:$P$479,"none")&gt;=3),1,0))</f>
        <v/>
      </c>
    </row>
    <row r="78">
      <c r="A78" s="3" t="n">
        <v>26</v>
      </c>
      <c r="B78" s="4" t="inlineStr">
        <is>
          <t>Participant 1</t>
        </is>
      </c>
      <c r="C78" s="4" t="inlineStr">
        <is>
          <t>lyrics</t>
        </is>
      </c>
      <c r="D78" s="4" t="inlineStr">
        <is>
          <t>2026-10-10T10:55:41.068Z</t>
        </is>
      </c>
      <c r="E78" s="3" t="n">
        <v>3</v>
      </c>
      <c r="F78" s="4" t="inlineStr">
        <is>
          <t>4 9 8 6 1 5 5 3</t>
        </is>
      </c>
      <c r="G78" s="3" t="n">
        <v>41</v>
      </c>
      <c r="H78" s="3" t="n">
        <v>41</v>
      </c>
      <c r="I78" s="3" t="inlineStr">
        <is>
          <t>true</t>
        </is>
      </c>
      <c r="J78" s="3" t="n">
        <v>0</v>
      </c>
      <c r="K78" s="3" t="n">
        <v>2436</v>
      </c>
      <c r="L78" s="3" t="n">
        <v>8</v>
      </c>
      <c r="M78" s="5" t="n">
        <v>1.8</v>
      </c>
      <c r="N78" s="3" t="n">
        <v>1</v>
      </c>
      <c r="O78" s="3" t="n">
        <v>9</v>
      </c>
      <c r="P78" s="6">
        <f>LOWER(TRIM(C78))</f>
        <v/>
      </c>
      <c r="Q78" s="6">
        <f>IF(I78="true",1,0)</f>
        <v/>
      </c>
      <c r="R78" s="7">
        <f>IF(K78="","",K78)</f>
        <v/>
      </c>
      <c r="S78" s="6">
        <f>IF(OR(H78="",H78&lt;8,H78&gt;72),"",J78)</f>
        <v/>
      </c>
      <c r="T78" s="6">
        <f>IF(OR(P78="lyrics",P78="instrumental"),1,IF(AND(P78="none",COUNTIFS($B$2:$B$479,B78,$P$2:$P$479,"none")&gt;=3),1,0))</f>
        <v/>
      </c>
    </row>
    <row r="79">
      <c r="A79" s="8" t="n">
        <v>27</v>
      </c>
      <c r="B79" s="9" t="inlineStr">
        <is>
          <t>Participant 1</t>
        </is>
      </c>
      <c r="C79" s="9" t="inlineStr">
        <is>
          <t>instrumental</t>
        </is>
      </c>
      <c r="D79" s="9" t="inlineStr">
        <is>
          <t>2026-10-10T10:57:42.924Z</t>
        </is>
      </c>
      <c r="E79" s="8" t="n">
        <v>1</v>
      </c>
      <c r="F79" s="9" t="inlineStr">
        <is>
          <t>9 4 9 5 6 1 2 2</t>
        </is>
      </c>
      <c r="G79" s="8" t="n">
        <v>38</v>
      </c>
      <c r="H79" s="8" t="n">
        <v>45</v>
      </c>
      <c r="I79" s="8" t="inlineStr">
        <is>
          <t>false</t>
        </is>
      </c>
      <c r="J79" s="8" t="n">
        <v>7</v>
      </c>
      <c r="K79" s="8" t="n">
        <v>2542</v>
      </c>
      <c r="L79" s="8" t="n">
        <v>8</v>
      </c>
      <c r="M79" s="10" t="n">
        <v>1.8</v>
      </c>
      <c r="N79" s="8" t="n">
        <v>1</v>
      </c>
      <c r="O79" s="8" t="n">
        <v>9</v>
      </c>
      <c r="P79" s="6">
        <f>LOWER(TRIM(C79))</f>
        <v/>
      </c>
      <c r="Q79" s="6">
        <f>IF(I79="true",1,0)</f>
        <v/>
      </c>
      <c r="R79" s="7">
        <f>IF(K79="","",K79)</f>
        <v/>
      </c>
      <c r="S79" s="6">
        <f>IF(OR(H79="",H79&lt;8,H79&gt;72),"",J79)</f>
        <v/>
      </c>
      <c r="T79" s="6">
        <f>IF(OR(P79="lyrics",P79="instrumental"),1,IF(AND(P79="none",COUNTIFS($B$2:$B$479,B79,$P$2:$P$479,"none")&gt;=3),1,0))</f>
        <v/>
      </c>
    </row>
    <row r="80">
      <c r="A80" s="3" t="n">
        <v>27</v>
      </c>
      <c r="B80" s="4" t="inlineStr">
        <is>
          <t>Participant 1</t>
        </is>
      </c>
      <c r="C80" s="4" t="inlineStr">
        <is>
          <t>instrumental</t>
        </is>
      </c>
      <c r="D80" s="4" t="inlineStr">
        <is>
          <t>2026-10-10T10:57:42.924Z</t>
        </is>
      </c>
      <c r="E80" s="3" t="n">
        <v>2</v>
      </c>
      <c r="F80" s="4" t="inlineStr">
        <is>
          <t>5 7 7 5 1 6 4 1</t>
        </is>
      </c>
      <c r="G80" s="3" t="n">
        <v>36</v>
      </c>
      <c r="H80" s="3" t="n">
        <v>36</v>
      </c>
      <c r="I80" s="3" t="inlineStr">
        <is>
          <t>true</t>
        </is>
      </c>
      <c r="J80" s="3" t="n">
        <v>0</v>
      </c>
      <c r="K80" s="3" t="n">
        <v>2087</v>
      </c>
      <c r="L80" s="3" t="n">
        <v>8</v>
      </c>
      <c r="M80" s="5" t="n">
        <v>1.8</v>
      </c>
      <c r="N80" s="3" t="n">
        <v>1</v>
      </c>
      <c r="O80" s="3" t="n">
        <v>9</v>
      </c>
      <c r="P80" s="6">
        <f>LOWER(TRIM(C80))</f>
        <v/>
      </c>
      <c r="Q80" s="6">
        <f>IF(I80="true",1,0)</f>
        <v/>
      </c>
      <c r="R80" s="7">
        <f>IF(K80="","",K80)</f>
        <v/>
      </c>
      <c r="S80" s="6">
        <f>IF(OR(H80="",H80&lt;8,H80&gt;72),"",J80)</f>
        <v/>
      </c>
      <c r="T80" s="6">
        <f>IF(OR(P80="lyrics",P80="instrumental"),1,IF(AND(P80="none",COUNTIFS($B$2:$B$479,B80,$P$2:$P$479,"none")&gt;=3),1,0))</f>
        <v/>
      </c>
    </row>
    <row r="81">
      <c r="A81" s="8" t="n">
        <v>27</v>
      </c>
      <c r="B81" s="9" t="inlineStr">
        <is>
          <t>Participant 1</t>
        </is>
      </c>
      <c r="C81" s="9" t="inlineStr">
        <is>
          <t>instrumental</t>
        </is>
      </c>
      <c r="D81" s="9" t="inlineStr">
        <is>
          <t>2026-10-10T10:57:42.924Z</t>
        </is>
      </c>
      <c r="E81" s="8" t="n">
        <v>3</v>
      </c>
      <c r="F81" s="9" t="inlineStr">
        <is>
          <t>5 8 1 8 2 2 2 4</t>
        </is>
      </c>
      <c r="G81" s="8" t="n">
        <v>32</v>
      </c>
      <c r="H81" s="8" t="n">
        <v>32</v>
      </c>
      <c r="I81" s="8" t="inlineStr">
        <is>
          <t>true</t>
        </is>
      </c>
      <c r="J81" s="8" t="n">
        <v>0</v>
      </c>
      <c r="K81" s="8" t="n">
        <v>2293</v>
      </c>
      <c r="L81" s="8" t="n">
        <v>8</v>
      </c>
      <c r="M81" s="10" t="n">
        <v>1.8</v>
      </c>
      <c r="N81" s="8" t="n">
        <v>1</v>
      </c>
      <c r="O81" s="8" t="n">
        <v>9</v>
      </c>
      <c r="P81" s="6">
        <f>LOWER(TRIM(C81))</f>
        <v/>
      </c>
      <c r="Q81" s="6">
        <f>IF(I81="true",1,0)</f>
        <v/>
      </c>
      <c r="R81" s="7">
        <f>IF(K81="","",K81)</f>
        <v/>
      </c>
      <c r="S81" s="6">
        <f>IF(OR(H81="",H81&lt;8,H81&gt;72),"",J81)</f>
        <v/>
      </c>
      <c r="T81" s="6">
        <f>IF(OR(P81="lyrics",P81="instrumental"),1,IF(AND(P81="none",COUNTIFS($B$2:$B$479,B81,$P$2:$P$479,"none")&gt;=3),1,0))</f>
        <v/>
      </c>
    </row>
    <row r="82">
      <c r="A82" s="3" t="n">
        <v>28</v>
      </c>
      <c r="B82" s="4" t="inlineStr">
        <is>
          <t>Participant 1</t>
        </is>
      </c>
      <c r="C82" s="4" t="inlineStr">
        <is>
          <t>lyrics</t>
        </is>
      </c>
      <c r="D82" s="4" t="inlineStr">
        <is>
          <t>2026-10-10T11:00:58.627Z</t>
        </is>
      </c>
      <c r="E82" s="3" t="n">
        <v>1</v>
      </c>
      <c r="F82" s="4" t="inlineStr">
        <is>
          <t>6 6 1 4 7 9 8 6</t>
        </is>
      </c>
      <c r="G82" s="3" t="n">
        <v>47</v>
      </c>
      <c r="H82" s="3" t="n">
        <v>52</v>
      </c>
      <c r="I82" s="3" t="inlineStr">
        <is>
          <t>false</t>
        </is>
      </c>
      <c r="J82" s="3" t="n">
        <v>5</v>
      </c>
      <c r="K82" s="3" t="n">
        <v>5810</v>
      </c>
      <c r="L82" s="3" t="n">
        <v>8</v>
      </c>
      <c r="M82" s="5" t="n">
        <v>1.8</v>
      </c>
      <c r="N82" s="3" t="n">
        <v>1</v>
      </c>
      <c r="O82" s="3" t="n">
        <v>9</v>
      </c>
      <c r="P82" s="6">
        <f>LOWER(TRIM(C82))</f>
        <v/>
      </c>
      <c r="Q82" s="6">
        <f>IF(I82="true",1,0)</f>
        <v/>
      </c>
      <c r="R82" s="7">
        <f>IF(K82="","",K82)</f>
        <v/>
      </c>
      <c r="S82" s="6">
        <f>IF(OR(H82="",H82&lt;8,H82&gt;72),"",J82)</f>
        <v/>
      </c>
      <c r="T82" s="6">
        <f>IF(OR(P82="lyrics",P82="instrumental"),1,IF(AND(P82="none",COUNTIFS($B$2:$B$479,B82,$P$2:$P$479,"none")&gt;=3),1,0))</f>
        <v/>
      </c>
    </row>
    <row r="83">
      <c r="A83" s="8" t="n">
        <v>28</v>
      </c>
      <c r="B83" s="9" t="inlineStr">
        <is>
          <t>Participant 1</t>
        </is>
      </c>
      <c r="C83" s="9" t="inlineStr">
        <is>
          <t>lyrics</t>
        </is>
      </c>
      <c r="D83" s="9" t="inlineStr">
        <is>
          <t>2026-10-10T11:00:58.627Z</t>
        </is>
      </c>
      <c r="E83" s="8" t="n">
        <v>2</v>
      </c>
      <c r="F83" s="9" t="inlineStr">
        <is>
          <t>1 5 6 8 3 5 7 8</t>
        </is>
      </c>
      <c r="G83" s="8" t="n">
        <v>43</v>
      </c>
      <c r="H83" s="8" t="n">
        <v>43</v>
      </c>
      <c r="I83" s="8" t="inlineStr">
        <is>
          <t>true</t>
        </is>
      </c>
      <c r="J83" s="8" t="n">
        <v>0</v>
      </c>
      <c r="K83" s="8" t="n">
        <v>4450</v>
      </c>
      <c r="L83" s="8" t="n">
        <v>8</v>
      </c>
      <c r="M83" s="10" t="n">
        <v>1.8</v>
      </c>
      <c r="N83" s="8" t="n">
        <v>1</v>
      </c>
      <c r="O83" s="8" t="n">
        <v>9</v>
      </c>
      <c r="P83" s="6">
        <f>LOWER(TRIM(C83))</f>
        <v/>
      </c>
      <c r="Q83" s="6">
        <f>IF(I83="true",1,0)</f>
        <v/>
      </c>
      <c r="R83" s="7">
        <f>IF(K83="","",K83)</f>
        <v/>
      </c>
      <c r="S83" s="6">
        <f>IF(OR(H83="",H83&lt;8,H83&gt;72),"",J83)</f>
        <v/>
      </c>
      <c r="T83" s="6">
        <f>IF(OR(P83="lyrics",P83="instrumental"),1,IF(AND(P83="none",COUNTIFS($B$2:$B$479,B83,$P$2:$P$479,"none")&gt;=3),1,0))</f>
        <v/>
      </c>
    </row>
    <row r="84">
      <c r="A84" s="3" t="n">
        <v>28</v>
      </c>
      <c r="B84" s="4" t="inlineStr">
        <is>
          <t>Participant 1</t>
        </is>
      </c>
      <c r="C84" s="4" t="inlineStr">
        <is>
          <t>lyrics</t>
        </is>
      </c>
      <c r="D84" s="4" t="inlineStr">
        <is>
          <t>2026-10-10T11:00:58.627Z</t>
        </is>
      </c>
      <c r="E84" s="3" t="n">
        <v>3</v>
      </c>
      <c r="F84" s="4" t="inlineStr">
        <is>
          <t>5 3 7 9 1 3 3 7</t>
        </is>
      </c>
      <c r="G84" s="3" t="n">
        <v>38</v>
      </c>
      <c r="H84" s="3" t="n">
        <v>38</v>
      </c>
      <c r="I84" s="3" t="inlineStr">
        <is>
          <t>true</t>
        </is>
      </c>
      <c r="J84" s="3" t="n">
        <v>0</v>
      </c>
      <c r="K84" s="3" t="n">
        <v>2456</v>
      </c>
      <c r="L84" s="3" t="n">
        <v>8</v>
      </c>
      <c r="M84" s="5" t="n">
        <v>1.8</v>
      </c>
      <c r="N84" s="3" t="n">
        <v>1</v>
      </c>
      <c r="O84" s="3" t="n">
        <v>9</v>
      </c>
      <c r="P84" s="6">
        <f>LOWER(TRIM(C84))</f>
        <v/>
      </c>
      <c r="Q84" s="6">
        <f>IF(I84="true",1,0)</f>
        <v/>
      </c>
      <c r="R84" s="7">
        <f>IF(K84="","",K84)</f>
        <v/>
      </c>
      <c r="S84" s="6">
        <f>IF(OR(H84="",H84&lt;8,H84&gt;72),"",J84)</f>
        <v/>
      </c>
      <c r="T84" s="6">
        <f>IF(OR(P84="lyrics",P84="instrumental"),1,IF(AND(P84="none",COUNTIFS($B$2:$B$479,B84,$P$2:$P$479,"none")&gt;=3),1,0))</f>
        <v/>
      </c>
    </row>
    <row r="85">
      <c r="A85" s="8" t="n">
        <v>29</v>
      </c>
      <c r="B85" s="9" t="inlineStr">
        <is>
          <t>Participant 1</t>
        </is>
      </c>
      <c r="C85" s="9" t="inlineStr">
        <is>
          <t>instrumental</t>
        </is>
      </c>
      <c r="D85" s="9" t="inlineStr">
        <is>
          <t>2026-10-10T11:02:22.731Z</t>
        </is>
      </c>
      <c r="E85" s="8" t="n">
        <v>1</v>
      </c>
      <c r="F85" s="9" t="inlineStr">
        <is>
          <t>1 9 9 8 6 8 6 4</t>
        </is>
      </c>
      <c r="G85" s="8" t="n">
        <v>51</v>
      </c>
      <c r="H85" s="8" t="n">
        <v>51</v>
      </c>
      <c r="I85" s="8" t="inlineStr">
        <is>
          <t>true</t>
        </is>
      </c>
      <c r="J85" s="8" t="n">
        <v>0</v>
      </c>
      <c r="K85" s="8" t="n">
        <v>3196</v>
      </c>
      <c r="L85" s="8" t="n">
        <v>8</v>
      </c>
      <c r="M85" s="10" t="n">
        <v>1.8</v>
      </c>
      <c r="N85" s="8" t="n">
        <v>1</v>
      </c>
      <c r="O85" s="8" t="n">
        <v>9</v>
      </c>
      <c r="P85" s="6">
        <f>LOWER(TRIM(C85))</f>
        <v/>
      </c>
      <c r="Q85" s="6">
        <f>IF(I85="true",1,0)</f>
        <v/>
      </c>
      <c r="R85" s="7">
        <f>IF(K85="","",K85)</f>
        <v/>
      </c>
      <c r="S85" s="6">
        <f>IF(OR(H85="",H85&lt;8,H85&gt;72),"",J85)</f>
        <v/>
      </c>
      <c r="T85" s="6">
        <f>IF(OR(P85="lyrics",P85="instrumental"),1,IF(AND(P85="none",COUNTIFS($B$2:$B$479,B85,$P$2:$P$479,"none")&gt;=3),1,0))</f>
        <v/>
      </c>
    </row>
    <row r="86">
      <c r="A86" s="3" t="n">
        <v>29</v>
      </c>
      <c r="B86" s="4" t="inlineStr">
        <is>
          <t>Participant 1</t>
        </is>
      </c>
      <c r="C86" s="4" t="inlineStr">
        <is>
          <t>instrumental</t>
        </is>
      </c>
      <c r="D86" s="4" t="inlineStr">
        <is>
          <t>2026-10-10T11:02:22.731Z</t>
        </is>
      </c>
      <c r="E86" s="3" t="n">
        <v>2</v>
      </c>
      <c r="F86" s="4" t="inlineStr">
        <is>
          <t>5 1 4 6 4 1 3 7</t>
        </is>
      </c>
      <c r="G86" s="3" t="n">
        <v>31</v>
      </c>
      <c r="H86" s="3" t="n">
        <v>31</v>
      </c>
      <c r="I86" s="3" t="inlineStr">
        <is>
          <t>true</t>
        </is>
      </c>
      <c r="J86" s="3" t="n">
        <v>0</v>
      </c>
      <c r="K86" s="3" t="n">
        <v>1889</v>
      </c>
      <c r="L86" s="3" t="n">
        <v>8</v>
      </c>
      <c r="M86" s="5" t="n">
        <v>1.8</v>
      </c>
      <c r="N86" s="3" t="n">
        <v>1</v>
      </c>
      <c r="O86" s="3" t="n">
        <v>9</v>
      </c>
      <c r="P86" s="6">
        <f>LOWER(TRIM(C86))</f>
        <v/>
      </c>
      <c r="Q86" s="6">
        <f>IF(I86="true",1,0)</f>
        <v/>
      </c>
      <c r="R86" s="7">
        <f>IF(K86="","",K86)</f>
        <v/>
      </c>
      <c r="S86" s="6">
        <f>IF(OR(H86="",H86&lt;8,H86&gt;72),"",J86)</f>
        <v/>
      </c>
      <c r="T86" s="6">
        <f>IF(OR(P86="lyrics",P86="instrumental"),1,IF(AND(P86="none",COUNTIFS($B$2:$B$479,B86,$P$2:$P$479,"none")&gt;=3),1,0))</f>
        <v/>
      </c>
    </row>
    <row r="87">
      <c r="A87" s="8" t="n">
        <v>29</v>
      </c>
      <c r="B87" s="9" t="inlineStr">
        <is>
          <t>Participant 1</t>
        </is>
      </c>
      <c r="C87" s="9" t="inlineStr">
        <is>
          <t>instrumental</t>
        </is>
      </c>
      <c r="D87" s="9" t="inlineStr">
        <is>
          <t>2026-10-10T11:02:22.731Z</t>
        </is>
      </c>
      <c r="E87" s="8" t="n">
        <v>3</v>
      </c>
      <c r="F87" s="9" t="inlineStr">
        <is>
          <t>3 1 6 6 1 1 3 6</t>
        </is>
      </c>
      <c r="G87" s="8" t="n">
        <v>27</v>
      </c>
      <c r="H87" s="8" t="n">
        <v>27</v>
      </c>
      <c r="I87" s="8" t="inlineStr">
        <is>
          <t>true</t>
        </is>
      </c>
      <c r="J87" s="8" t="n">
        <v>0</v>
      </c>
      <c r="K87" s="8" t="n">
        <v>2365</v>
      </c>
      <c r="L87" s="8" t="n">
        <v>8</v>
      </c>
      <c r="M87" s="10" t="n">
        <v>1.8</v>
      </c>
      <c r="N87" s="8" t="n">
        <v>1</v>
      </c>
      <c r="O87" s="8" t="n">
        <v>9</v>
      </c>
      <c r="P87" s="6">
        <f>LOWER(TRIM(C87))</f>
        <v/>
      </c>
      <c r="Q87" s="6">
        <f>IF(I87="true",1,0)</f>
        <v/>
      </c>
      <c r="R87" s="7">
        <f>IF(K87="","",K87)</f>
        <v/>
      </c>
      <c r="S87" s="6">
        <f>IF(OR(H87="",H87&lt;8,H87&gt;72),"",J87)</f>
        <v/>
      </c>
      <c r="T87" s="6">
        <f>IF(OR(P87="lyrics",P87="instrumental"),1,IF(AND(P87="none",COUNTIFS($B$2:$B$479,B87,$P$2:$P$479,"none")&gt;=3),1,0))</f>
        <v/>
      </c>
    </row>
    <row r="88">
      <c r="A88" s="3" t="n">
        <v>30</v>
      </c>
      <c r="B88" s="4" t="inlineStr">
        <is>
          <t>Participant 1</t>
        </is>
      </c>
      <c r="C88" s="4" t="inlineStr">
        <is>
          <t>lyrics</t>
        </is>
      </c>
      <c r="D88" s="4" t="inlineStr">
        <is>
          <t>2026-10-10T11:04:41.262Z</t>
        </is>
      </c>
      <c r="E88" s="3" t="n">
        <v>1</v>
      </c>
      <c r="F88" s="4" t="inlineStr">
        <is>
          <t>7 1 1 6 8 5 9 4</t>
        </is>
      </c>
      <c r="G88" s="3" t="n">
        <v>41</v>
      </c>
      <c r="H88" s="3" t="n">
        <v>41</v>
      </c>
      <c r="I88" s="3" t="inlineStr">
        <is>
          <t>true</t>
        </is>
      </c>
      <c r="J88" s="3" t="n">
        <v>0</v>
      </c>
      <c r="K88" s="3" t="n">
        <v>1864</v>
      </c>
      <c r="L88" s="3" t="n">
        <v>8</v>
      </c>
      <c r="M88" s="5" t="n">
        <v>1.8</v>
      </c>
      <c r="N88" s="3" t="n">
        <v>1</v>
      </c>
      <c r="O88" s="3" t="n">
        <v>9</v>
      </c>
      <c r="P88" s="6">
        <f>LOWER(TRIM(C88))</f>
        <v/>
      </c>
      <c r="Q88" s="6">
        <f>IF(I88="true",1,0)</f>
        <v/>
      </c>
      <c r="R88" s="7">
        <f>IF(K88="","",K88)</f>
        <v/>
      </c>
      <c r="S88" s="6">
        <f>IF(OR(H88="",H88&lt;8,H88&gt;72),"",J88)</f>
        <v/>
      </c>
      <c r="T88" s="6">
        <f>IF(OR(P88="lyrics",P88="instrumental"),1,IF(AND(P88="none",COUNTIFS($B$2:$B$479,B88,$P$2:$P$479,"none")&gt;=3),1,0))</f>
        <v/>
      </c>
    </row>
    <row r="89">
      <c r="A89" s="8" t="n">
        <v>30</v>
      </c>
      <c r="B89" s="9" t="inlineStr">
        <is>
          <t>Participant 1</t>
        </is>
      </c>
      <c r="C89" s="9" t="inlineStr">
        <is>
          <t>lyrics</t>
        </is>
      </c>
      <c r="D89" s="9" t="inlineStr">
        <is>
          <t>2026-10-10T11:04:41.262Z</t>
        </is>
      </c>
      <c r="E89" s="8" t="n">
        <v>2</v>
      </c>
      <c r="F89" s="9" t="inlineStr">
        <is>
          <t>5 3 9 6 7 5 4 7</t>
        </is>
      </c>
      <c r="G89" s="8" t="n">
        <v>46</v>
      </c>
      <c r="H89" s="8" t="n">
        <v>46</v>
      </c>
      <c r="I89" s="8" t="inlineStr">
        <is>
          <t>true</t>
        </is>
      </c>
      <c r="J89" s="8" t="n">
        <v>0</v>
      </c>
      <c r="K89" s="8" t="n">
        <v>2118</v>
      </c>
      <c r="L89" s="8" t="n">
        <v>8</v>
      </c>
      <c r="M89" s="10" t="n">
        <v>1.8</v>
      </c>
      <c r="N89" s="8" t="n">
        <v>1</v>
      </c>
      <c r="O89" s="8" t="n">
        <v>9</v>
      </c>
      <c r="P89" s="6">
        <f>LOWER(TRIM(C89))</f>
        <v/>
      </c>
      <c r="Q89" s="6">
        <f>IF(I89="true",1,0)</f>
        <v/>
      </c>
      <c r="R89" s="7">
        <f>IF(K89="","",K89)</f>
        <v/>
      </c>
      <c r="S89" s="6">
        <f>IF(OR(H89="",H89&lt;8,H89&gt;72),"",J89)</f>
        <v/>
      </c>
      <c r="T89" s="6">
        <f>IF(OR(P89="lyrics",P89="instrumental"),1,IF(AND(P89="none",COUNTIFS($B$2:$B$479,B89,$P$2:$P$479,"none")&gt;=3),1,0))</f>
        <v/>
      </c>
    </row>
    <row r="90">
      <c r="A90" s="3" t="n">
        <v>30</v>
      </c>
      <c r="B90" s="4" t="inlineStr">
        <is>
          <t>Participant 1</t>
        </is>
      </c>
      <c r="C90" s="4" t="inlineStr">
        <is>
          <t>lyrics</t>
        </is>
      </c>
      <c r="D90" s="4" t="inlineStr">
        <is>
          <t>2026-10-10T11:04:41.262Z</t>
        </is>
      </c>
      <c r="E90" s="3" t="n">
        <v>3</v>
      </c>
      <c r="F90" s="4" t="inlineStr">
        <is>
          <t>6 4 8 5 5 1 2 9</t>
        </is>
      </c>
      <c r="G90" s="3" t="n">
        <v>40</v>
      </c>
      <c r="H90" s="3" t="n">
        <v>40</v>
      </c>
      <c r="I90" s="3" t="inlineStr">
        <is>
          <t>true</t>
        </is>
      </c>
      <c r="J90" s="3" t="n">
        <v>0</v>
      </c>
      <c r="K90" s="3" t="n">
        <v>1991</v>
      </c>
      <c r="L90" s="3" t="n">
        <v>8</v>
      </c>
      <c r="M90" s="5" t="n">
        <v>1.8</v>
      </c>
      <c r="N90" s="3" t="n">
        <v>1</v>
      </c>
      <c r="O90" s="3" t="n">
        <v>9</v>
      </c>
      <c r="P90" s="6">
        <f>LOWER(TRIM(C90))</f>
        <v/>
      </c>
      <c r="Q90" s="6">
        <f>IF(I90="true",1,0)</f>
        <v/>
      </c>
      <c r="R90" s="7">
        <f>IF(K90="","",K90)</f>
        <v/>
      </c>
      <c r="S90" s="6">
        <f>IF(OR(H90="",H90&lt;8,H90&gt;72),"",J90)</f>
        <v/>
      </c>
      <c r="T90" s="6">
        <f>IF(OR(P90="lyrics",P90="instrumental"),1,IF(AND(P90="none",COUNTIFS($B$2:$B$479,B90,$P$2:$P$479,"none")&gt;=3),1,0))</f>
        <v/>
      </c>
    </row>
    <row r="91">
      <c r="A91" s="8" t="n">
        <v>31</v>
      </c>
      <c r="B91" s="9" t="inlineStr">
        <is>
          <t>Participant 1</t>
        </is>
      </c>
      <c r="C91" s="9" t="inlineStr">
        <is>
          <t>instrumental</t>
        </is>
      </c>
      <c r="D91" s="9" t="inlineStr">
        <is>
          <t>2026-10-10T11:06:39.239Z</t>
        </is>
      </c>
      <c r="E91" s="8" t="n">
        <v>1</v>
      </c>
      <c r="F91" s="9" t="inlineStr">
        <is>
          <t>8 5 9 6 7 7 8 5</t>
        </is>
      </c>
      <c r="G91" s="8" t="n">
        <v>55</v>
      </c>
      <c r="H91" s="8" t="n">
        <v>46</v>
      </c>
      <c r="I91" s="8" t="inlineStr">
        <is>
          <t>false</t>
        </is>
      </c>
      <c r="J91" s="8" t="n">
        <v>9</v>
      </c>
      <c r="K91" s="8" t="n">
        <v>5125</v>
      </c>
      <c r="L91" s="8" t="n">
        <v>8</v>
      </c>
      <c r="M91" s="10" t="n">
        <v>1.8</v>
      </c>
      <c r="N91" s="8" t="n">
        <v>1</v>
      </c>
      <c r="O91" s="8" t="n">
        <v>9</v>
      </c>
      <c r="P91" s="6">
        <f>LOWER(TRIM(C91))</f>
        <v/>
      </c>
      <c r="Q91" s="6">
        <f>IF(I91="true",1,0)</f>
        <v/>
      </c>
      <c r="R91" s="7">
        <f>IF(K91="","",K91)</f>
        <v/>
      </c>
      <c r="S91" s="6">
        <f>IF(OR(H91="",H91&lt;8,H91&gt;72),"",J91)</f>
        <v/>
      </c>
      <c r="T91" s="6">
        <f>IF(OR(P91="lyrics",P91="instrumental"),1,IF(AND(P91="none",COUNTIFS($B$2:$B$479,B91,$P$2:$P$479,"none")&gt;=3),1,0))</f>
        <v/>
      </c>
    </row>
    <row r="92">
      <c r="A92" s="3" t="n">
        <v>31</v>
      </c>
      <c r="B92" s="4" t="inlineStr">
        <is>
          <t>Participant 1</t>
        </is>
      </c>
      <c r="C92" s="4" t="inlineStr">
        <is>
          <t>instrumental</t>
        </is>
      </c>
      <c r="D92" s="4" t="inlineStr">
        <is>
          <t>2026-10-10T11:06:39.239Z</t>
        </is>
      </c>
      <c r="E92" s="3" t="n">
        <v>2</v>
      </c>
      <c r="F92" s="4" t="inlineStr">
        <is>
          <t>7 3 2 2 9 7 2 3</t>
        </is>
      </c>
      <c r="G92" s="3" t="n">
        <v>35</v>
      </c>
      <c r="H92" s="3" t="n">
        <v>33</v>
      </c>
      <c r="I92" s="3" t="inlineStr">
        <is>
          <t>false</t>
        </is>
      </c>
      <c r="J92" s="3" t="n">
        <v>2</v>
      </c>
      <c r="K92" s="3" t="n">
        <v>1600</v>
      </c>
      <c r="L92" s="3" t="n">
        <v>8</v>
      </c>
      <c r="M92" s="5" t="n">
        <v>1.8</v>
      </c>
      <c r="N92" s="3" t="n">
        <v>1</v>
      </c>
      <c r="O92" s="3" t="n">
        <v>9</v>
      </c>
      <c r="P92" s="6">
        <f>LOWER(TRIM(C92))</f>
        <v/>
      </c>
      <c r="Q92" s="6">
        <f>IF(I92="true",1,0)</f>
        <v/>
      </c>
      <c r="R92" s="7">
        <f>IF(K92="","",K92)</f>
        <v/>
      </c>
      <c r="S92" s="6">
        <f>IF(OR(H92="",H92&lt;8,H92&gt;72),"",J92)</f>
        <v/>
      </c>
      <c r="T92" s="6">
        <f>IF(OR(P92="lyrics",P92="instrumental"),1,IF(AND(P92="none",COUNTIFS($B$2:$B$479,B92,$P$2:$P$479,"none")&gt;=3),1,0))</f>
        <v/>
      </c>
    </row>
    <row r="93">
      <c r="A93" s="8" t="n">
        <v>31</v>
      </c>
      <c r="B93" s="9" t="inlineStr">
        <is>
          <t>Participant 1</t>
        </is>
      </c>
      <c r="C93" s="9" t="inlineStr">
        <is>
          <t>instrumental</t>
        </is>
      </c>
      <c r="D93" s="9" t="inlineStr">
        <is>
          <t>2026-10-10T11:06:39.239Z</t>
        </is>
      </c>
      <c r="E93" s="8" t="n">
        <v>3</v>
      </c>
      <c r="F93" s="9" t="inlineStr">
        <is>
          <t>4 4 4 6 2 5 2 8</t>
        </is>
      </c>
      <c r="G93" s="8" t="n">
        <v>35</v>
      </c>
      <c r="H93" s="8" t="n">
        <v>35</v>
      </c>
      <c r="I93" s="8" t="inlineStr">
        <is>
          <t>true</t>
        </is>
      </c>
      <c r="J93" s="8" t="n">
        <v>0</v>
      </c>
      <c r="K93" s="8" t="n">
        <v>3286</v>
      </c>
      <c r="L93" s="8" t="n">
        <v>8</v>
      </c>
      <c r="M93" s="10" t="n">
        <v>1.8</v>
      </c>
      <c r="N93" s="8" t="n">
        <v>1</v>
      </c>
      <c r="O93" s="8" t="n">
        <v>9</v>
      </c>
      <c r="P93" s="6">
        <f>LOWER(TRIM(C93))</f>
        <v/>
      </c>
      <c r="Q93" s="6">
        <f>IF(I93="true",1,0)</f>
        <v/>
      </c>
      <c r="R93" s="7">
        <f>IF(K93="","",K93)</f>
        <v/>
      </c>
      <c r="S93" s="6">
        <f>IF(OR(H93="",H93&lt;8,H93&gt;72),"",J93)</f>
        <v/>
      </c>
      <c r="T93" s="6">
        <f>IF(OR(P93="lyrics",P93="instrumental"),1,IF(AND(P93="none",COUNTIFS($B$2:$B$479,B93,$P$2:$P$479,"none")&gt;=3),1,0))</f>
        <v/>
      </c>
    </row>
    <row r="94">
      <c r="A94" s="3" t="n">
        <v>32</v>
      </c>
      <c r="B94" s="4" t="inlineStr">
        <is>
          <t>Participant 2</t>
        </is>
      </c>
      <c r="C94" s="4" t="inlineStr">
        <is>
          <t>none</t>
        </is>
      </c>
      <c r="D94" s="4" t="inlineStr">
        <is>
          <t>2026-10-10T19:29:54.418Z</t>
        </is>
      </c>
      <c r="E94" s="3" t="n">
        <v>1</v>
      </c>
      <c r="F94" s="4" t="inlineStr">
        <is>
          <t>7 6 1 3 8 4 4 8</t>
        </is>
      </c>
      <c r="G94" s="3" t="n">
        <v>41</v>
      </c>
      <c r="H94" s="3" t="n">
        <v>38</v>
      </c>
      <c r="I94" s="3" t="inlineStr">
        <is>
          <t>false</t>
        </is>
      </c>
      <c r="J94" s="3" t="n">
        <v>3</v>
      </c>
      <c r="K94" s="3" t="n"/>
      <c r="L94" s="3" t="n">
        <v>8</v>
      </c>
      <c r="M94" s="5" t="n">
        <v>1.8</v>
      </c>
      <c r="N94" s="3" t="n">
        <v>1</v>
      </c>
      <c r="O94" s="3" t="n">
        <v>9</v>
      </c>
      <c r="P94" s="6">
        <f>LOWER(TRIM(C94))</f>
        <v/>
      </c>
      <c r="Q94" s="6">
        <f>IF(I94="true",1,0)</f>
        <v/>
      </c>
      <c r="R94" s="7">
        <f>IF(K94="","",K94)</f>
        <v/>
      </c>
      <c r="S94" s="6">
        <f>IF(OR(H94="",H94&lt;8,H94&gt;72),"",J94)</f>
        <v/>
      </c>
      <c r="T94" s="6">
        <f>IF(OR(P94="lyrics",P94="instrumental"),1,IF(AND(P94="none",COUNTIFS($B$2:$B$479,B94,$P$2:$P$479,"none")&gt;=3),1,0))</f>
        <v/>
      </c>
    </row>
    <row r="95">
      <c r="A95" s="8" t="n">
        <v>32</v>
      </c>
      <c r="B95" s="9" t="inlineStr">
        <is>
          <t>Participant 2</t>
        </is>
      </c>
      <c r="C95" s="9" t="inlineStr">
        <is>
          <t>none</t>
        </is>
      </c>
      <c r="D95" s="9" t="inlineStr">
        <is>
          <t>2026-10-10T19:29:54.418Z</t>
        </is>
      </c>
      <c r="E95" s="8" t="n">
        <v>2</v>
      </c>
      <c r="F95" s="9" t="inlineStr">
        <is>
          <t>8 4 4 7 6 7 5 2</t>
        </is>
      </c>
      <c r="G95" s="8" t="n">
        <v>43</v>
      </c>
      <c r="H95" s="8" t="n">
        <v>44</v>
      </c>
      <c r="I95" s="8" t="inlineStr">
        <is>
          <t>false</t>
        </is>
      </c>
      <c r="J95" s="8" t="n">
        <v>1</v>
      </c>
      <c r="K95" s="8" t="n">
        <v>6825</v>
      </c>
      <c r="L95" s="8" t="n">
        <v>8</v>
      </c>
      <c r="M95" s="10" t="n">
        <v>1.8</v>
      </c>
      <c r="N95" s="8" t="n">
        <v>1</v>
      </c>
      <c r="O95" s="8" t="n">
        <v>9</v>
      </c>
      <c r="P95" s="6">
        <f>LOWER(TRIM(C95))</f>
        <v/>
      </c>
      <c r="Q95" s="6">
        <f>IF(I95="true",1,0)</f>
        <v/>
      </c>
      <c r="R95" s="7">
        <f>IF(K95="","",K95)</f>
        <v/>
      </c>
      <c r="S95" s="6">
        <f>IF(OR(H95="",H95&lt;8,H95&gt;72),"",J95)</f>
        <v/>
      </c>
      <c r="T95" s="6">
        <f>IF(OR(P95="lyrics",P95="instrumental"),1,IF(AND(P95="none",COUNTIFS($B$2:$B$479,B95,$P$2:$P$479,"none")&gt;=3),1,0))</f>
        <v/>
      </c>
    </row>
    <row r="96">
      <c r="A96" s="3" t="n">
        <v>33</v>
      </c>
      <c r="B96" s="4" t="inlineStr">
        <is>
          <t>Participant 2</t>
        </is>
      </c>
      <c r="C96" s="4" t="inlineStr">
        <is>
          <t>instrumental</t>
        </is>
      </c>
      <c r="D96" s="4" t="inlineStr">
        <is>
          <t>2026-10-10T19:32:34.950Z</t>
        </is>
      </c>
      <c r="E96" s="3" t="n">
        <v>1</v>
      </c>
      <c r="F96" s="4" t="inlineStr">
        <is>
          <t>7 1 6 3 7 6 5 4</t>
        </is>
      </c>
      <c r="G96" s="3" t="n">
        <v>39</v>
      </c>
      <c r="H96" s="3" t="n">
        <v>49</v>
      </c>
      <c r="I96" s="3" t="inlineStr">
        <is>
          <t>false</t>
        </is>
      </c>
      <c r="J96" s="3" t="n">
        <v>10</v>
      </c>
      <c r="K96" s="3" t="n">
        <v>7814</v>
      </c>
      <c r="L96" s="3" t="n">
        <v>8</v>
      </c>
      <c r="M96" s="5" t="n">
        <v>1.8</v>
      </c>
      <c r="N96" s="3" t="n">
        <v>1</v>
      </c>
      <c r="O96" s="3" t="n">
        <v>9</v>
      </c>
      <c r="P96" s="6">
        <f>LOWER(TRIM(C96))</f>
        <v/>
      </c>
      <c r="Q96" s="6">
        <f>IF(I96="true",1,0)</f>
        <v/>
      </c>
      <c r="R96" s="7">
        <f>IF(K96="","",K96)</f>
        <v/>
      </c>
      <c r="S96" s="6">
        <f>IF(OR(H96="",H96&lt;8,H96&gt;72),"",J96)</f>
        <v/>
      </c>
      <c r="T96" s="6">
        <f>IF(OR(P96="lyrics",P96="instrumental"),1,IF(AND(P96="none",COUNTIFS($B$2:$B$479,B96,$P$2:$P$479,"none")&gt;=3),1,0))</f>
        <v/>
      </c>
    </row>
    <row r="97">
      <c r="A97" s="8" t="n">
        <v>33</v>
      </c>
      <c r="B97" s="9" t="inlineStr">
        <is>
          <t>Participant 2</t>
        </is>
      </c>
      <c r="C97" s="9" t="inlineStr">
        <is>
          <t>instrumental</t>
        </is>
      </c>
      <c r="D97" s="9" t="inlineStr">
        <is>
          <t>2026-10-10T19:32:34.950Z</t>
        </is>
      </c>
      <c r="E97" s="8" t="n">
        <v>2</v>
      </c>
      <c r="F97" s="9" t="inlineStr">
        <is>
          <t>8 1 4 8 5 8 1 1</t>
        </is>
      </c>
      <c r="G97" s="8" t="n">
        <v>36</v>
      </c>
      <c r="H97" s="8" t="n">
        <v>38</v>
      </c>
      <c r="I97" s="8" t="inlineStr">
        <is>
          <t>false</t>
        </is>
      </c>
      <c r="J97" s="8" t="n">
        <v>2</v>
      </c>
      <c r="K97" s="8" t="n">
        <v>2867</v>
      </c>
      <c r="L97" s="8" t="n">
        <v>8</v>
      </c>
      <c r="M97" s="10" t="n">
        <v>1.8</v>
      </c>
      <c r="N97" s="8" t="n">
        <v>1</v>
      </c>
      <c r="O97" s="8" t="n">
        <v>9</v>
      </c>
      <c r="P97" s="6">
        <f>LOWER(TRIM(C97))</f>
        <v/>
      </c>
      <c r="Q97" s="6">
        <f>IF(I97="true",1,0)</f>
        <v/>
      </c>
      <c r="R97" s="7">
        <f>IF(K97="","",K97)</f>
        <v/>
      </c>
      <c r="S97" s="6">
        <f>IF(OR(H97="",H97&lt;8,H97&gt;72),"",J97)</f>
        <v/>
      </c>
      <c r="T97" s="6">
        <f>IF(OR(P97="lyrics",P97="instrumental"),1,IF(AND(P97="none",COUNTIFS($B$2:$B$479,B97,$P$2:$P$479,"none")&gt;=3),1,0))</f>
        <v/>
      </c>
    </row>
    <row r="98">
      <c r="A98" s="3" t="n">
        <v>33</v>
      </c>
      <c r="B98" s="4" t="inlineStr">
        <is>
          <t>Participant 2</t>
        </is>
      </c>
      <c r="C98" s="4" t="inlineStr">
        <is>
          <t>instrumental</t>
        </is>
      </c>
      <c r="D98" s="4" t="inlineStr">
        <is>
          <t>2026-10-10T19:32:34.950Z</t>
        </is>
      </c>
      <c r="E98" s="3" t="n">
        <v>3</v>
      </c>
      <c r="F98" s="4" t="inlineStr">
        <is>
          <t>7 8 3 1 4 9 8 6</t>
        </is>
      </c>
      <c r="G98" s="3" t="n">
        <v>46</v>
      </c>
      <c r="H98" s="3" t="n">
        <v>46</v>
      </c>
      <c r="I98" s="3" t="inlineStr">
        <is>
          <t>true</t>
        </is>
      </c>
      <c r="J98" s="3" t="n">
        <v>0</v>
      </c>
      <c r="K98" s="3" t="n">
        <v>2119</v>
      </c>
      <c r="L98" s="3" t="n">
        <v>8</v>
      </c>
      <c r="M98" s="5" t="n">
        <v>1.8</v>
      </c>
      <c r="N98" s="3" t="n">
        <v>1</v>
      </c>
      <c r="O98" s="3" t="n">
        <v>9</v>
      </c>
      <c r="P98" s="6">
        <f>LOWER(TRIM(C98))</f>
        <v/>
      </c>
      <c r="Q98" s="6">
        <f>IF(I98="true",1,0)</f>
        <v/>
      </c>
      <c r="R98" s="7">
        <f>IF(K98="","",K98)</f>
        <v/>
      </c>
      <c r="S98" s="6">
        <f>IF(OR(H98="",H98&lt;8,H98&gt;72),"",J98)</f>
        <v/>
      </c>
      <c r="T98" s="6">
        <f>IF(OR(P98="lyrics",P98="instrumental"),1,IF(AND(P98="none",COUNTIFS($B$2:$B$479,B98,$P$2:$P$479,"none")&gt;=3),1,0))</f>
        <v/>
      </c>
    </row>
    <row r="99">
      <c r="A99" s="8" t="n">
        <v>34</v>
      </c>
      <c r="B99" s="9" t="inlineStr">
        <is>
          <t>Participant 2</t>
        </is>
      </c>
      <c r="C99" s="9" t="inlineStr">
        <is>
          <t>lyrics</t>
        </is>
      </c>
      <c r="D99" s="9" t="inlineStr">
        <is>
          <t>2026-10-10T19:34:13.947Z</t>
        </is>
      </c>
      <c r="E99" s="8" t="n">
        <v>1</v>
      </c>
      <c r="F99" s="9" t="inlineStr">
        <is>
          <t>2 8 9 3 5 3 9 5</t>
        </is>
      </c>
      <c r="G99" s="8" t="n">
        <v>44</v>
      </c>
      <c r="H99" s="8" t="n">
        <v>44</v>
      </c>
      <c r="I99" s="8" t="inlineStr">
        <is>
          <t>true</t>
        </is>
      </c>
      <c r="J99" s="8" t="n">
        <v>0</v>
      </c>
      <c r="K99" s="8" t="n">
        <v>2097</v>
      </c>
      <c r="L99" s="8" t="n">
        <v>8</v>
      </c>
      <c r="M99" s="10" t="n">
        <v>1.8</v>
      </c>
      <c r="N99" s="8" t="n">
        <v>1</v>
      </c>
      <c r="O99" s="8" t="n">
        <v>9</v>
      </c>
      <c r="P99" s="6">
        <f>LOWER(TRIM(C99))</f>
        <v/>
      </c>
      <c r="Q99" s="6">
        <f>IF(I99="true",1,0)</f>
        <v/>
      </c>
      <c r="R99" s="7">
        <f>IF(K99="","",K99)</f>
        <v/>
      </c>
      <c r="S99" s="6">
        <f>IF(OR(H99="",H99&lt;8,H99&gt;72),"",J99)</f>
        <v/>
      </c>
      <c r="T99" s="6">
        <f>IF(OR(P99="lyrics",P99="instrumental"),1,IF(AND(P99="none",COUNTIFS($B$2:$B$479,B99,$P$2:$P$479,"none")&gt;=3),1,0))</f>
        <v/>
      </c>
    </row>
    <row r="100">
      <c r="A100" s="3" t="n">
        <v>34</v>
      </c>
      <c r="B100" s="4" t="inlineStr">
        <is>
          <t>Participant 2</t>
        </is>
      </c>
      <c r="C100" s="4" t="inlineStr">
        <is>
          <t>lyrics</t>
        </is>
      </c>
      <c r="D100" s="4" t="inlineStr">
        <is>
          <t>2026-10-10T19:34:13.947Z</t>
        </is>
      </c>
      <c r="E100" s="3" t="n">
        <v>2</v>
      </c>
      <c r="F100" s="4" t="inlineStr">
        <is>
          <t>3 6 5 3 8 9 6 8</t>
        </is>
      </c>
      <c r="G100" s="3" t="n">
        <v>48</v>
      </c>
      <c r="H100" s="3" t="n">
        <v>48</v>
      </c>
      <c r="I100" s="3" t="inlineStr">
        <is>
          <t>true</t>
        </is>
      </c>
      <c r="J100" s="3" t="n">
        <v>0</v>
      </c>
      <c r="K100" s="3" t="n">
        <v>2201</v>
      </c>
      <c r="L100" s="3" t="n">
        <v>8</v>
      </c>
      <c r="M100" s="5" t="n">
        <v>1.8</v>
      </c>
      <c r="N100" s="3" t="n">
        <v>1</v>
      </c>
      <c r="O100" s="3" t="n">
        <v>9</v>
      </c>
      <c r="P100" s="6">
        <f>LOWER(TRIM(C100))</f>
        <v/>
      </c>
      <c r="Q100" s="6">
        <f>IF(I100="true",1,0)</f>
        <v/>
      </c>
      <c r="R100" s="7">
        <f>IF(K100="","",K100)</f>
        <v/>
      </c>
      <c r="S100" s="6">
        <f>IF(OR(H100="",H100&lt;8,H100&gt;72),"",J100)</f>
        <v/>
      </c>
      <c r="T100" s="6">
        <f>IF(OR(P100="lyrics",P100="instrumental"),1,IF(AND(P100="none",COUNTIFS($B$2:$B$479,B100,$P$2:$P$479,"none")&gt;=3),1,0))</f>
        <v/>
      </c>
    </row>
    <row r="101">
      <c r="A101" s="8" t="n">
        <v>34</v>
      </c>
      <c r="B101" s="9" t="inlineStr">
        <is>
          <t>Participant 2</t>
        </is>
      </c>
      <c r="C101" s="9" t="inlineStr">
        <is>
          <t>lyrics</t>
        </is>
      </c>
      <c r="D101" s="9" t="inlineStr">
        <is>
          <t>2026-10-10T19:34:13.947Z</t>
        </is>
      </c>
      <c r="E101" s="8" t="n">
        <v>3</v>
      </c>
      <c r="F101" s="9" t="inlineStr">
        <is>
          <t>8 3 8 3 5 1 4 8</t>
        </is>
      </c>
      <c r="G101" s="8" t="n">
        <v>40</v>
      </c>
      <c r="H101" s="8" t="n">
        <v>40</v>
      </c>
      <c r="I101" s="8" t="inlineStr">
        <is>
          <t>true</t>
        </is>
      </c>
      <c r="J101" s="8" t="n">
        <v>0</v>
      </c>
      <c r="K101" s="8" t="n">
        <v>1887</v>
      </c>
      <c r="L101" s="8" t="n">
        <v>8</v>
      </c>
      <c r="M101" s="10" t="n">
        <v>1.8</v>
      </c>
      <c r="N101" s="8" t="n">
        <v>1</v>
      </c>
      <c r="O101" s="8" t="n">
        <v>9</v>
      </c>
      <c r="P101" s="6">
        <f>LOWER(TRIM(C101))</f>
        <v/>
      </c>
      <c r="Q101" s="6">
        <f>IF(I101="true",1,0)</f>
        <v/>
      </c>
      <c r="R101" s="7">
        <f>IF(K101="","",K101)</f>
        <v/>
      </c>
      <c r="S101" s="6">
        <f>IF(OR(H101="",H101&lt;8,H101&gt;72),"",J101)</f>
        <v/>
      </c>
      <c r="T101" s="6">
        <f>IF(OR(P101="lyrics",P101="instrumental"),1,IF(AND(P101="none",COUNTIFS($B$2:$B$479,B101,$P$2:$P$479,"none")&gt;=3),1,0))</f>
        <v/>
      </c>
    </row>
    <row r="102">
      <c r="A102" s="3" t="n">
        <v>35</v>
      </c>
      <c r="B102" s="4" t="inlineStr">
        <is>
          <t>Participant 2</t>
        </is>
      </c>
      <c r="C102" s="4" t="inlineStr">
        <is>
          <t>instrumental</t>
        </is>
      </c>
      <c r="D102" s="4" t="inlineStr">
        <is>
          <t>2026-10-10T19:36:02.411Z</t>
        </is>
      </c>
      <c r="E102" s="3" t="n">
        <v>1</v>
      </c>
      <c r="F102" s="4" t="inlineStr">
        <is>
          <t>7 8 4 6 9 4 1 6</t>
        </is>
      </c>
      <c r="G102" s="3" t="n">
        <v>45</v>
      </c>
      <c r="H102" s="3" t="n">
        <v>45</v>
      </c>
      <c r="I102" s="3" t="inlineStr">
        <is>
          <t>true</t>
        </is>
      </c>
      <c r="J102" s="3" t="n">
        <v>0</v>
      </c>
      <c r="K102" s="3" t="n">
        <v>4384</v>
      </c>
      <c r="L102" s="3" t="n">
        <v>8</v>
      </c>
      <c r="M102" s="5" t="n">
        <v>1.8</v>
      </c>
      <c r="N102" s="3" t="n">
        <v>1</v>
      </c>
      <c r="O102" s="3" t="n">
        <v>9</v>
      </c>
      <c r="P102" s="6">
        <f>LOWER(TRIM(C102))</f>
        <v/>
      </c>
      <c r="Q102" s="6">
        <f>IF(I102="true",1,0)</f>
        <v/>
      </c>
      <c r="R102" s="7">
        <f>IF(K102="","",K102)</f>
        <v/>
      </c>
      <c r="S102" s="6">
        <f>IF(OR(H102="",H102&lt;8,H102&gt;72),"",J102)</f>
        <v/>
      </c>
      <c r="T102" s="6">
        <f>IF(OR(P102="lyrics",P102="instrumental"),1,IF(AND(P102="none",COUNTIFS($B$2:$B$479,B102,$P$2:$P$479,"none")&gt;=3),1,0))</f>
        <v/>
      </c>
    </row>
    <row r="103">
      <c r="A103" s="8" t="n">
        <v>35</v>
      </c>
      <c r="B103" s="9" t="inlineStr">
        <is>
          <t>Participant 2</t>
        </is>
      </c>
      <c r="C103" s="9" t="inlineStr">
        <is>
          <t>instrumental</t>
        </is>
      </c>
      <c r="D103" s="9" t="inlineStr">
        <is>
          <t>2026-10-10T19:36:02.411Z</t>
        </is>
      </c>
      <c r="E103" s="8" t="n">
        <v>2</v>
      </c>
      <c r="F103" s="9" t="inlineStr">
        <is>
          <t>9 6 4 4 1 6 5 6</t>
        </is>
      </c>
      <c r="G103" s="8" t="n">
        <v>41</v>
      </c>
      <c r="H103" s="8" t="n">
        <v>41</v>
      </c>
      <c r="I103" s="8" t="inlineStr">
        <is>
          <t>true</t>
        </is>
      </c>
      <c r="J103" s="8" t="n">
        <v>0</v>
      </c>
      <c r="K103" s="8" t="n">
        <v>1797</v>
      </c>
      <c r="L103" s="8" t="n">
        <v>8</v>
      </c>
      <c r="M103" s="10" t="n">
        <v>1.8</v>
      </c>
      <c r="N103" s="8" t="n">
        <v>1</v>
      </c>
      <c r="O103" s="8" t="n">
        <v>9</v>
      </c>
      <c r="P103" s="6">
        <f>LOWER(TRIM(C103))</f>
        <v/>
      </c>
      <c r="Q103" s="6">
        <f>IF(I103="true",1,0)</f>
        <v/>
      </c>
      <c r="R103" s="7">
        <f>IF(K103="","",K103)</f>
        <v/>
      </c>
      <c r="S103" s="6">
        <f>IF(OR(H103="",H103&lt;8,H103&gt;72),"",J103)</f>
        <v/>
      </c>
      <c r="T103" s="6">
        <f>IF(OR(P103="lyrics",P103="instrumental"),1,IF(AND(P103="none",COUNTIFS($B$2:$B$479,B103,$P$2:$P$479,"none")&gt;=3),1,0))</f>
        <v/>
      </c>
    </row>
    <row r="104">
      <c r="A104" s="3" t="n">
        <v>35</v>
      </c>
      <c r="B104" s="4" t="inlineStr">
        <is>
          <t>Participant 2</t>
        </is>
      </c>
      <c r="C104" s="4" t="inlineStr">
        <is>
          <t>instrumental</t>
        </is>
      </c>
      <c r="D104" s="4" t="inlineStr">
        <is>
          <t>2026-10-10T19:36:02.411Z</t>
        </is>
      </c>
      <c r="E104" s="3" t="n">
        <v>3</v>
      </c>
      <c r="F104" s="4" t="inlineStr">
        <is>
          <t>9 9 7 4 5 3 8 7</t>
        </is>
      </c>
      <c r="G104" s="3" t="n">
        <v>52</v>
      </c>
      <c r="H104" s="3" t="n">
        <v>43</v>
      </c>
      <c r="I104" s="3" t="inlineStr">
        <is>
          <t>false</t>
        </is>
      </c>
      <c r="J104" s="3" t="n">
        <v>9</v>
      </c>
      <c r="K104" s="3" t="n">
        <v>3471</v>
      </c>
      <c r="L104" s="3" t="n">
        <v>8</v>
      </c>
      <c r="M104" s="5" t="n">
        <v>1.8</v>
      </c>
      <c r="N104" s="3" t="n">
        <v>1</v>
      </c>
      <c r="O104" s="3" t="n">
        <v>9</v>
      </c>
      <c r="P104" s="6">
        <f>LOWER(TRIM(C104))</f>
        <v/>
      </c>
      <c r="Q104" s="6">
        <f>IF(I104="true",1,0)</f>
        <v/>
      </c>
      <c r="R104" s="7">
        <f>IF(K104="","",K104)</f>
        <v/>
      </c>
      <c r="S104" s="6">
        <f>IF(OR(H104="",H104&lt;8,H104&gt;72),"",J104)</f>
        <v/>
      </c>
      <c r="T104" s="6">
        <f>IF(OR(P104="lyrics",P104="instrumental"),1,IF(AND(P104="none",COUNTIFS($B$2:$B$479,B104,$P$2:$P$479,"none")&gt;=3),1,0))</f>
        <v/>
      </c>
    </row>
    <row r="105">
      <c r="A105" s="8" t="n">
        <v>36</v>
      </c>
      <c r="B105" s="9" t="inlineStr">
        <is>
          <t>Participant 2</t>
        </is>
      </c>
      <c r="C105" s="9" t="inlineStr">
        <is>
          <t>lyrics</t>
        </is>
      </c>
      <c r="D105" s="9" t="inlineStr">
        <is>
          <t>2026-10-10T19:38:14.208Z</t>
        </is>
      </c>
      <c r="E105" s="8" t="n">
        <v>1</v>
      </c>
      <c r="F105" s="9" t="inlineStr">
        <is>
          <t>1 8 3 7 8 5 7 4</t>
        </is>
      </c>
      <c r="G105" s="8" t="n">
        <v>43</v>
      </c>
      <c r="H105" s="8" t="n">
        <v>43</v>
      </c>
      <c r="I105" s="8" t="inlineStr">
        <is>
          <t>true</t>
        </is>
      </c>
      <c r="J105" s="8" t="n">
        <v>0</v>
      </c>
      <c r="K105" s="8" t="n">
        <v>5919</v>
      </c>
      <c r="L105" s="8" t="n">
        <v>8</v>
      </c>
      <c r="M105" s="10" t="n">
        <v>1.8</v>
      </c>
      <c r="N105" s="8" t="n">
        <v>1</v>
      </c>
      <c r="O105" s="8" t="n">
        <v>9</v>
      </c>
      <c r="P105" s="6">
        <f>LOWER(TRIM(C105))</f>
        <v/>
      </c>
      <c r="Q105" s="6">
        <f>IF(I105="true",1,0)</f>
        <v/>
      </c>
      <c r="R105" s="7">
        <f>IF(K105="","",K105)</f>
        <v/>
      </c>
      <c r="S105" s="6">
        <f>IF(OR(H105="",H105&lt;8,H105&gt;72),"",J105)</f>
        <v/>
      </c>
      <c r="T105" s="6">
        <f>IF(OR(P105="lyrics",P105="instrumental"),1,IF(AND(P105="none",COUNTIFS($B$2:$B$479,B105,$P$2:$P$479,"none")&gt;=3),1,0))</f>
        <v/>
      </c>
    </row>
    <row r="106">
      <c r="A106" s="3" t="n">
        <v>36</v>
      </c>
      <c r="B106" s="4" t="inlineStr">
        <is>
          <t>Participant 2</t>
        </is>
      </c>
      <c r="C106" s="4" t="inlineStr">
        <is>
          <t>lyrics</t>
        </is>
      </c>
      <c r="D106" s="4" t="inlineStr">
        <is>
          <t>2026-10-10T19:38:14.208Z</t>
        </is>
      </c>
      <c r="E106" s="3" t="n">
        <v>2</v>
      </c>
      <c r="F106" s="4" t="inlineStr">
        <is>
          <t>1 9 9 7 5 7 3 8</t>
        </is>
      </c>
      <c r="G106" s="3" t="n">
        <v>49</v>
      </c>
      <c r="H106" s="3" t="n">
        <v>49</v>
      </c>
      <c r="I106" s="3" t="inlineStr">
        <is>
          <t>true</t>
        </is>
      </c>
      <c r="J106" s="3" t="n">
        <v>0</v>
      </c>
      <c r="K106" s="3" t="n">
        <v>2150</v>
      </c>
      <c r="L106" s="3" t="n">
        <v>8</v>
      </c>
      <c r="M106" s="5" t="n">
        <v>1.8</v>
      </c>
      <c r="N106" s="3" t="n">
        <v>1</v>
      </c>
      <c r="O106" s="3" t="n">
        <v>9</v>
      </c>
      <c r="P106" s="6">
        <f>LOWER(TRIM(C106))</f>
        <v/>
      </c>
      <c r="Q106" s="6">
        <f>IF(I106="true",1,0)</f>
        <v/>
      </c>
      <c r="R106" s="7">
        <f>IF(K106="","",K106)</f>
        <v/>
      </c>
      <c r="S106" s="6">
        <f>IF(OR(H106="",H106&lt;8,H106&gt;72),"",J106)</f>
        <v/>
      </c>
      <c r="T106" s="6">
        <f>IF(OR(P106="lyrics",P106="instrumental"),1,IF(AND(P106="none",COUNTIFS($B$2:$B$479,B106,$P$2:$P$479,"none")&gt;=3),1,0))</f>
        <v/>
      </c>
    </row>
    <row r="107">
      <c r="A107" s="8" t="n">
        <v>36</v>
      </c>
      <c r="B107" s="9" t="inlineStr">
        <is>
          <t>Participant 2</t>
        </is>
      </c>
      <c r="C107" s="9" t="inlineStr">
        <is>
          <t>lyrics</t>
        </is>
      </c>
      <c r="D107" s="9" t="inlineStr">
        <is>
          <t>2026-10-10T19:38:14.208Z</t>
        </is>
      </c>
      <c r="E107" s="8" t="n">
        <v>3</v>
      </c>
      <c r="F107" s="9" t="inlineStr">
        <is>
          <t>3 5 9 3 4 9 7 9</t>
        </is>
      </c>
      <c r="G107" s="8" t="n">
        <v>49</v>
      </c>
      <c r="H107" s="8" t="n">
        <v>44</v>
      </c>
      <c r="I107" s="8" t="inlineStr">
        <is>
          <t>false</t>
        </is>
      </c>
      <c r="J107" s="8" t="n">
        <v>5</v>
      </c>
      <c r="K107" s="8" t="n">
        <v>3032</v>
      </c>
      <c r="L107" s="8" t="n">
        <v>8</v>
      </c>
      <c r="M107" s="10" t="n">
        <v>1.8</v>
      </c>
      <c r="N107" s="8" t="n">
        <v>1</v>
      </c>
      <c r="O107" s="8" t="n">
        <v>9</v>
      </c>
      <c r="P107" s="6">
        <f>LOWER(TRIM(C107))</f>
        <v/>
      </c>
      <c r="Q107" s="6">
        <f>IF(I107="true",1,0)</f>
        <v/>
      </c>
      <c r="R107" s="7">
        <f>IF(K107="","",K107)</f>
        <v/>
      </c>
      <c r="S107" s="6">
        <f>IF(OR(H107="",H107&lt;8,H107&gt;72),"",J107)</f>
        <v/>
      </c>
      <c r="T107" s="6">
        <f>IF(OR(P107="lyrics",P107="instrumental"),1,IF(AND(P107="none",COUNTIFS($B$2:$B$479,B107,$P$2:$P$479,"none")&gt;=3),1,0))</f>
        <v/>
      </c>
    </row>
    <row r="108">
      <c r="A108" s="3" t="n">
        <v>37</v>
      </c>
      <c r="B108" s="4" t="inlineStr">
        <is>
          <t>Participant 2</t>
        </is>
      </c>
      <c r="C108" s="4" t="inlineStr">
        <is>
          <t>instrumental</t>
        </is>
      </c>
      <c r="D108" s="4" t="inlineStr">
        <is>
          <t>2026-10-10T19:40:05.629Z</t>
        </is>
      </c>
      <c r="E108" s="3" t="n">
        <v>1</v>
      </c>
      <c r="F108" s="4" t="inlineStr">
        <is>
          <t>2 3 2 5 5 4 1 7</t>
        </is>
      </c>
      <c r="G108" s="3" t="n">
        <v>29</v>
      </c>
      <c r="H108" s="3" t="n">
        <v>29</v>
      </c>
      <c r="I108" s="3" t="inlineStr">
        <is>
          <t>true</t>
        </is>
      </c>
      <c r="J108" s="3" t="n">
        <v>0</v>
      </c>
      <c r="K108" s="3" t="n">
        <v>6008</v>
      </c>
      <c r="L108" s="3" t="n">
        <v>8</v>
      </c>
      <c r="M108" s="5" t="n">
        <v>1.8</v>
      </c>
      <c r="N108" s="3" t="n">
        <v>1</v>
      </c>
      <c r="O108" s="3" t="n">
        <v>9</v>
      </c>
      <c r="P108" s="6">
        <f>LOWER(TRIM(C108))</f>
        <v/>
      </c>
      <c r="Q108" s="6">
        <f>IF(I108="true",1,0)</f>
        <v/>
      </c>
      <c r="R108" s="7">
        <f>IF(K108="","",K108)</f>
        <v/>
      </c>
      <c r="S108" s="6">
        <f>IF(OR(H108="",H108&lt;8,H108&gt;72),"",J108)</f>
        <v/>
      </c>
      <c r="T108" s="6">
        <f>IF(OR(P108="lyrics",P108="instrumental"),1,IF(AND(P108="none",COUNTIFS($B$2:$B$479,B108,$P$2:$P$479,"none")&gt;=3),1,0))</f>
        <v/>
      </c>
    </row>
    <row r="109">
      <c r="A109" s="8" t="n">
        <v>37</v>
      </c>
      <c r="B109" s="9" t="inlineStr">
        <is>
          <t>Participant 2</t>
        </is>
      </c>
      <c r="C109" s="9" t="inlineStr">
        <is>
          <t>instrumental</t>
        </is>
      </c>
      <c r="D109" s="9" t="inlineStr">
        <is>
          <t>2026-10-10T19:40:05.629Z</t>
        </is>
      </c>
      <c r="E109" s="8" t="n">
        <v>2</v>
      </c>
      <c r="F109" s="9" t="inlineStr">
        <is>
          <t>9 3 4 4 9 3 1 8</t>
        </is>
      </c>
      <c r="G109" s="8" t="n">
        <v>41</v>
      </c>
      <c r="H109" s="8" t="n">
        <v>41</v>
      </c>
      <c r="I109" s="8" t="inlineStr">
        <is>
          <t>true</t>
        </is>
      </c>
      <c r="J109" s="8" t="n">
        <v>0</v>
      </c>
      <c r="K109" s="8" t="n">
        <v>3117</v>
      </c>
      <c r="L109" s="8" t="n">
        <v>8</v>
      </c>
      <c r="M109" s="10" t="n">
        <v>1.8</v>
      </c>
      <c r="N109" s="8" t="n">
        <v>1</v>
      </c>
      <c r="O109" s="8" t="n">
        <v>9</v>
      </c>
      <c r="P109" s="6">
        <f>LOWER(TRIM(C109))</f>
        <v/>
      </c>
      <c r="Q109" s="6">
        <f>IF(I109="true",1,0)</f>
        <v/>
      </c>
      <c r="R109" s="7">
        <f>IF(K109="","",K109)</f>
        <v/>
      </c>
      <c r="S109" s="6">
        <f>IF(OR(H109="",H109&lt;8,H109&gt;72),"",J109)</f>
        <v/>
      </c>
      <c r="T109" s="6">
        <f>IF(OR(P109="lyrics",P109="instrumental"),1,IF(AND(P109="none",COUNTIFS($B$2:$B$479,B109,$P$2:$P$479,"none")&gt;=3),1,0))</f>
        <v/>
      </c>
    </row>
    <row r="110">
      <c r="A110" s="3" t="n">
        <v>37</v>
      </c>
      <c r="B110" s="4" t="inlineStr">
        <is>
          <t>Participant 2</t>
        </is>
      </c>
      <c r="C110" s="4" t="inlineStr">
        <is>
          <t>instrumental</t>
        </is>
      </c>
      <c r="D110" s="4" t="inlineStr">
        <is>
          <t>2026-10-10T19:40:05.629Z</t>
        </is>
      </c>
      <c r="E110" s="3" t="n">
        <v>3</v>
      </c>
      <c r="F110" s="4" t="inlineStr">
        <is>
          <t>9 4 6 1 5 8 1 8</t>
        </is>
      </c>
      <c r="G110" s="3" t="n">
        <v>42</v>
      </c>
      <c r="H110" s="3" t="n">
        <v>42</v>
      </c>
      <c r="I110" s="3" t="inlineStr">
        <is>
          <t>true</t>
        </is>
      </c>
      <c r="J110" s="3" t="n">
        <v>0</v>
      </c>
      <c r="K110" s="3" t="n">
        <v>7435</v>
      </c>
      <c r="L110" s="3" t="n">
        <v>8</v>
      </c>
      <c r="M110" s="5" t="n">
        <v>1.8</v>
      </c>
      <c r="N110" s="3" t="n">
        <v>1</v>
      </c>
      <c r="O110" s="3" t="n">
        <v>9</v>
      </c>
      <c r="P110" s="6">
        <f>LOWER(TRIM(C110))</f>
        <v/>
      </c>
      <c r="Q110" s="6">
        <f>IF(I110="true",1,0)</f>
        <v/>
      </c>
      <c r="R110" s="7">
        <f>IF(K110="","",K110)</f>
        <v/>
      </c>
      <c r="S110" s="6">
        <f>IF(OR(H110="",H110&lt;8,H110&gt;72),"",J110)</f>
        <v/>
      </c>
      <c r="T110" s="6">
        <f>IF(OR(P110="lyrics",P110="instrumental"),1,IF(AND(P110="none",COUNTIFS($B$2:$B$479,B110,$P$2:$P$479,"none")&gt;=3),1,0))</f>
        <v/>
      </c>
    </row>
    <row r="111">
      <c r="A111" s="8" t="n">
        <v>38</v>
      </c>
      <c r="B111" s="9" t="inlineStr">
        <is>
          <t>Participant 2</t>
        </is>
      </c>
      <c r="C111" s="9" t="inlineStr">
        <is>
          <t>lyrics</t>
        </is>
      </c>
      <c r="D111" s="9" t="inlineStr">
        <is>
          <t>2026-10-10T19:41:45.485Z</t>
        </is>
      </c>
      <c r="E111" s="8" t="n">
        <v>1</v>
      </c>
      <c r="F111" s="9" t="inlineStr">
        <is>
          <t>7 2 4 2 5 9 2 8</t>
        </is>
      </c>
      <c r="G111" s="8" t="n">
        <v>39</v>
      </c>
      <c r="H111" s="8" t="n">
        <v>39</v>
      </c>
      <c r="I111" s="8" t="inlineStr">
        <is>
          <t>true</t>
        </is>
      </c>
      <c r="J111" s="8" t="n">
        <v>0</v>
      </c>
      <c r="K111" s="8" t="n">
        <v>2147</v>
      </c>
      <c r="L111" s="8" t="n">
        <v>8</v>
      </c>
      <c r="M111" s="10" t="n">
        <v>1.8</v>
      </c>
      <c r="N111" s="8" t="n">
        <v>1</v>
      </c>
      <c r="O111" s="8" t="n">
        <v>9</v>
      </c>
      <c r="P111" s="6">
        <f>LOWER(TRIM(C111))</f>
        <v/>
      </c>
      <c r="Q111" s="6">
        <f>IF(I111="true",1,0)</f>
        <v/>
      </c>
      <c r="R111" s="7">
        <f>IF(K111="","",K111)</f>
        <v/>
      </c>
      <c r="S111" s="6">
        <f>IF(OR(H111="",H111&lt;8,H111&gt;72),"",J111)</f>
        <v/>
      </c>
      <c r="T111" s="6">
        <f>IF(OR(P111="lyrics",P111="instrumental"),1,IF(AND(P111="none",COUNTIFS($B$2:$B$479,B111,$P$2:$P$479,"none")&gt;=3),1,0))</f>
        <v/>
      </c>
    </row>
    <row r="112">
      <c r="A112" s="3" t="n">
        <v>38</v>
      </c>
      <c r="B112" s="4" t="inlineStr">
        <is>
          <t>Participant 2</t>
        </is>
      </c>
      <c r="C112" s="4" t="inlineStr">
        <is>
          <t>lyrics</t>
        </is>
      </c>
      <c r="D112" s="4" t="inlineStr">
        <is>
          <t>2026-10-10T19:41:45.485Z</t>
        </is>
      </c>
      <c r="E112" s="3" t="n">
        <v>2</v>
      </c>
      <c r="F112" s="4" t="inlineStr">
        <is>
          <t>4 5 3 8 3 5 1 5</t>
        </is>
      </c>
      <c r="G112" s="3" t="n">
        <v>34</v>
      </c>
      <c r="H112" s="3" t="n">
        <v>34</v>
      </c>
      <c r="I112" s="3" t="inlineStr">
        <is>
          <t>true</t>
        </is>
      </c>
      <c r="J112" s="3" t="n">
        <v>0</v>
      </c>
      <c r="K112" s="3" t="n">
        <v>2364</v>
      </c>
      <c r="L112" s="3" t="n">
        <v>8</v>
      </c>
      <c r="M112" s="5" t="n">
        <v>1.8</v>
      </c>
      <c r="N112" s="3" t="n">
        <v>1</v>
      </c>
      <c r="O112" s="3" t="n">
        <v>9</v>
      </c>
      <c r="P112" s="6">
        <f>LOWER(TRIM(C112))</f>
        <v/>
      </c>
      <c r="Q112" s="6">
        <f>IF(I112="true",1,0)</f>
        <v/>
      </c>
      <c r="R112" s="7">
        <f>IF(K112="","",K112)</f>
        <v/>
      </c>
      <c r="S112" s="6">
        <f>IF(OR(H112="",H112&lt;8,H112&gt;72),"",J112)</f>
        <v/>
      </c>
      <c r="T112" s="6">
        <f>IF(OR(P112="lyrics",P112="instrumental"),1,IF(AND(P112="none",COUNTIFS($B$2:$B$479,B112,$P$2:$P$479,"none")&gt;=3),1,0))</f>
        <v/>
      </c>
    </row>
    <row r="113">
      <c r="A113" s="8" t="n">
        <v>38</v>
      </c>
      <c r="B113" s="9" t="inlineStr">
        <is>
          <t>Participant 2</t>
        </is>
      </c>
      <c r="C113" s="9" t="inlineStr">
        <is>
          <t>lyrics</t>
        </is>
      </c>
      <c r="D113" s="9" t="inlineStr">
        <is>
          <t>2026-10-10T19:41:45.485Z</t>
        </is>
      </c>
      <c r="E113" s="8" t="n">
        <v>3</v>
      </c>
      <c r="F113" s="9" t="inlineStr">
        <is>
          <t>4 9 6 9 8 9 6 6</t>
        </is>
      </c>
      <c r="G113" s="8" t="n">
        <v>57</v>
      </c>
      <c r="H113" s="8" t="n">
        <v>57</v>
      </c>
      <c r="I113" s="8" t="inlineStr">
        <is>
          <t>true</t>
        </is>
      </c>
      <c r="J113" s="8" t="n">
        <v>0</v>
      </c>
      <c r="K113" s="8" t="n">
        <v>5348</v>
      </c>
      <c r="L113" s="8" t="n">
        <v>8</v>
      </c>
      <c r="M113" s="10" t="n">
        <v>1.8</v>
      </c>
      <c r="N113" s="8" t="n">
        <v>1</v>
      </c>
      <c r="O113" s="8" t="n">
        <v>9</v>
      </c>
      <c r="P113" s="6">
        <f>LOWER(TRIM(C113))</f>
        <v/>
      </c>
      <c r="Q113" s="6">
        <f>IF(I113="true",1,0)</f>
        <v/>
      </c>
      <c r="R113" s="7">
        <f>IF(K113="","",K113)</f>
        <v/>
      </c>
      <c r="S113" s="6">
        <f>IF(OR(H113="",H113&lt;8,H113&gt;72),"",J113)</f>
        <v/>
      </c>
      <c r="T113" s="6">
        <f>IF(OR(P113="lyrics",P113="instrumental"),1,IF(AND(P113="none",COUNTIFS($B$2:$B$479,B113,$P$2:$P$479,"none")&gt;=3),1,0))</f>
        <v/>
      </c>
    </row>
    <row r="114">
      <c r="A114" s="3" t="n">
        <v>39</v>
      </c>
      <c r="B114" s="4" t="inlineStr">
        <is>
          <t>Participant 3</t>
        </is>
      </c>
      <c r="C114" s="4" t="inlineStr">
        <is>
          <t>none</t>
        </is>
      </c>
      <c r="D114" s="4" t="inlineStr">
        <is>
          <t>2026-10-10T19:54:34.959Z</t>
        </is>
      </c>
      <c r="E114" s="3" t="n">
        <v>1</v>
      </c>
      <c r="F114" s="4" t="inlineStr">
        <is>
          <t>5 8 1 8 5 8 8 3</t>
        </is>
      </c>
      <c r="G114" s="3" t="n">
        <v>46</v>
      </c>
      <c r="H114" s="3" t="n">
        <v>35</v>
      </c>
      <c r="I114" s="3" t="inlineStr">
        <is>
          <t>false</t>
        </is>
      </c>
      <c r="J114" s="3" t="n">
        <v>11</v>
      </c>
      <c r="K114" s="3" t="n">
        <v>6691</v>
      </c>
      <c r="L114" s="3" t="n">
        <v>8</v>
      </c>
      <c r="M114" s="5" t="n">
        <v>1.8</v>
      </c>
      <c r="N114" s="3" t="n">
        <v>1</v>
      </c>
      <c r="O114" s="3" t="n">
        <v>9</v>
      </c>
      <c r="P114" s="6">
        <f>LOWER(TRIM(C114))</f>
        <v/>
      </c>
      <c r="Q114" s="6">
        <f>IF(I114="true",1,0)</f>
        <v/>
      </c>
      <c r="R114" s="7">
        <f>IF(K114="","",K114)</f>
        <v/>
      </c>
      <c r="S114" s="6">
        <f>IF(OR(H114="",H114&lt;8,H114&gt;72),"",J114)</f>
        <v/>
      </c>
      <c r="T114" s="6">
        <f>IF(OR(P114="lyrics",P114="instrumental"),1,IF(AND(P114="none",COUNTIFS($B$2:$B$479,B114,$P$2:$P$479,"none")&gt;=3),1,0))</f>
        <v/>
      </c>
    </row>
    <row r="115">
      <c r="A115" s="8" t="n">
        <v>39</v>
      </c>
      <c r="B115" s="9" t="inlineStr">
        <is>
          <t>Participant 3</t>
        </is>
      </c>
      <c r="C115" s="9" t="inlineStr">
        <is>
          <t>none</t>
        </is>
      </c>
      <c r="D115" s="9" t="inlineStr">
        <is>
          <t>2026-10-10T19:54:34.959Z</t>
        </is>
      </c>
      <c r="E115" s="8" t="n">
        <v>2</v>
      </c>
      <c r="F115" s="9" t="inlineStr">
        <is>
          <t>8 9 8 9 9 9 4 4</t>
        </is>
      </c>
      <c r="G115" s="8" t="n">
        <v>60</v>
      </c>
      <c r="H115" s="8" t="n">
        <v>54</v>
      </c>
      <c r="I115" s="8" t="inlineStr">
        <is>
          <t>false</t>
        </is>
      </c>
      <c r="J115" s="8" t="n">
        <v>6</v>
      </c>
      <c r="K115" s="8" t="n">
        <v>3448</v>
      </c>
      <c r="L115" s="8" t="n">
        <v>8</v>
      </c>
      <c r="M115" s="10" t="n">
        <v>1.8</v>
      </c>
      <c r="N115" s="8" t="n">
        <v>1</v>
      </c>
      <c r="O115" s="8" t="n">
        <v>9</v>
      </c>
      <c r="P115" s="6">
        <f>LOWER(TRIM(C115))</f>
        <v/>
      </c>
      <c r="Q115" s="6">
        <f>IF(I115="true",1,0)</f>
        <v/>
      </c>
      <c r="R115" s="7">
        <f>IF(K115="","",K115)</f>
        <v/>
      </c>
      <c r="S115" s="6">
        <f>IF(OR(H115="",H115&lt;8,H115&gt;72),"",J115)</f>
        <v/>
      </c>
      <c r="T115" s="6">
        <f>IF(OR(P115="lyrics",P115="instrumental"),1,IF(AND(P115="none",COUNTIFS($B$2:$B$479,B115,$P$2:$P$479,"none")&gt;=3),1,0))</f>
        <v/>
      </c>
    </row>
    <row r="116">
      <c r="A116" s="3" t="n">
        <v>40</v>
      </c>
      <c r="B116" s="4" t="inlineStr">
        <is>
          <t>Participant 3</t>
        </is>
      </c>
      <c r="C116" s="4" t="inlineStr">
        <is>
          <t>lyrics</t>
        </is>
      </c>
      <c r="D116" s="4" t="inlineStr">
        <is>
          <t>2026-10-10T19:56:48.329Z</t>
        </is>
      </c>
      <c r="E116" s="3" t="n">
        <v>1</v>
      </c>
      <c r="F116" s="4" t="inlineStr">
        <is>
          <t>6 6 8 7 7 9 2 9</t>
        </is>
      </c>
      <c r="G116" s="3" t="n">
        <v>54</v>
      </c>
      <c r="H116" s="3" t="n">
        <v>36</v>
      </c>
      <c r="I116" s="3" t="inlineStr">
        <is>
          <t>false</t>
        </is>
      </c>
      <c r="J116" s="3" t="n">
        <v>18</v>
      </c>
      <c r="K116" s="3" t="n">
        <v>3105</v>
      </c>
      <c r="L116" s="3" t="n">
        <v>8</v>
      </c>
      <c r="M116" s="5" t="n">
        <v>1.8</v>
      </c>
      <c r="N116" s="3" t="n">
        <v>1</v>
      </c>
      <c r="O116" s="3" t="n">
        <v>9</v>
      </c>
      <c r="P116" s="6">
        <f>LOWER(TRIM(C116))</f>
        <v/>
      </c>
      <c r="Q116" s="6">
        <f>IF(I116="true",1,0)</f>
        <v/>
      </c>
      <c r="R116" s="7">
        <f>IF(K116="","",K116)</f>
        <v/>
      </c>
      <c r="S116" s="6">
        <f>IF(OR(H116="",H116&lt;8,H116&gt;72),"",J116)</f>
        <v/>
      </c>
      <c r="T116" s="6">
        <f>IF(OR(P116="lyrics",P116="instrumental"),1,IF(AND(P116="none",COUNTIFS($B$2:$B$479,B116,$P$2:$P$479,"none")&gt;=3),1,0))</f>
        <v/>
      </c>
    </row>
    <row r="117">
      <c r="A117" s="8" t="n">
        <v>40</v>
      </c>
      <c r="B117" s="9" t="inlineStr">
        <is>
          <t>Participant 3</t>
        </is>
      </c>
      <c r="C117" s="9" t="inlineStr">
        <is>
          <t>lyrics</t>
        </is>
      </c>
      <c r="D117" s="9" t="inlineStr">
        <is>
          <t>2026-10-10T19:56:48.329Z</t>
        </is>
      </c>
      <c r="E117" s="8" t="n">
        <v>2</v>
      </c>
      <c r="F117" s="9" t="inlineStr">
        <is>
          <t>7 1 9 4 2 3 2 2</t>
        </is>
      </c>
      <c r="G117" s="8" t="n">
        <v>30</v>
      </c>
      <c r="H117" s="8" t="n">
        <v>300</v>
      </c>
      <c r="I117" s="8" t="inlineStr">
        <is>
          <t>false</t>
        </is>
      </c>
      <c r="J117" s="8" t="n">
        <v>270</v>
      </c>
      <c r="K117" s="8" t="n">
        <v>2740</v>
      </c>
      <c r="L117" s="8" t="n">
        <v>8</v>
      </c>
      <c r="M117" s="10" t="n">
        <v>1.8</v>
      </c>
      <c r="N117" s="8" t="n">
        <v>1</v>
      </c>
      <c r="O117" s="8" t="n">
        <v>9</v>
      </c>
      <c r="P117" s="6">
        <f>LOWER(TRIM(C117))</f>
        <v/>
      </c>
      <c r="Q117" s="6">
        <f>IF(I117="true",1,0)</f>
        <v/>
      </c>
      <c r="R117" s="7">
        <f>IF(K117="","",K117)</f>
        <v/>
      </c>
      <c r="S117" s="6">
        <f>IF(OR(H117="",H117&lt;8,H117&gt;72),"",J117)</f>
        <v/>
      </c>
      <c r="T117" s="6">
        <f>IF(OR(P117="lyrics",P117="instrumental"),1,IF(AND(P117="none",COUNTIFS($B$2:$B$479,B117,$P$2:$P$479,"none")&gt;=3),1,0))</f>
        <v/>
      </c>
    </row>
    <row r="118">
      <c r="A118" s="3" t="n">
        <v>40</v>
      </c>
      <c r="B118" s="4" t="inlineStr">
        <is>
          <t>Participant 3</t>
        </is>
      </c>
      <c r="C118" s="4" t="inlineStr">
        <is>
          <t>lyrics</t>
        </is>
      </c>
      <c r="D118" s="4" t="inlineStr">
        <is>
          <t>2026-10-10T19:56:48.329Z</t>
        </is>
      </c>
      <c r="E118" s="3" t="n">
        <v>3</v>
      </c>
      <c r="F118" s="4" t="inlineStr">
        <is>
          <t>6 2 6 9 8 1 5 9</t>
        </is>
      </c>
      <c r="G118" s="3" t="n">
        <v>46</v>
      </c>
      <c r="H118" s="3" t="n">
        <v>40</v>
      </c>
      <c r="I118" s="3" t="inlineStr">
        <is>
          <t>false</t>
        </is>
      </c>
      <c r="J118" s="3" t="n">
        <v>6</v>
      </c>
      <c r="K118" s="3" t="n">
        <v>2366</v>
      </c>
      <c r="L118" s="3" t="n">
        <v>8</v>
      </c>
      <c r="M118" s="5" t="n">
        <v>1.8</v>
      </c>
      <c r="N118" s="3" t="n">
        <v>1</v>
      </c>
      <c r="O118" s="3" t="n">
        <v>9</v>
      </c>
      <c r="P118" s="6">
        <f>LOWER(TRIM(C118))</f>
        <v/>
      </c>
      <c r="Q118" s="6">
        <f>IF(I118="true",1,0)</f>
        <v/>
      </c>
      <c r="R118" s="7">
        <f>IF(K118="","",K118)</f>
        <v/>
      </c>
      <c r="S118" s="6">
        <f>IF(OR(H118="",H118&lt;8,H118&gt;72),"",J118)</f>
        <v/>
      </c>
      <c r="T118" s="6">
        <f>IF(OR(P118="lyrics",P118="instrumental"),1,IF(AND(P118="none",COUNTIFS($B$2:$B$479,B118,$P$2:$P$479,"none")&gt;=3),1,0))</f>
        <v/>
      </c>
    </row>
    <row r="119">
      <c r="A119" s="8" t="n">
        <v>41</v>
      </c>
      <c r="B119" s="9" t="inlineStr">
        <is>
          <t>Participant 3</t>
        </is>
      </c>
      <c r="C119" s="9" t="inlineStr">
        <is>
          <t>instrumental</t>
        </is>
      </c>
      <c r="D119" s="9" t="inlineStr">
        <is>
          <t>2026-10-10T19:59:53.821Z</t>
        </is>
      </c>
      <c r="E119" s="8" t="n">
        <v>1</v>
      </c>
      <c r="F119" s="9" t="inlineStr">
        <is>
          <t>6 9 5 3 5 3 9 1</t>
        </is>
      </c>
      <c r="G119" s="8" t="n">
        <v>41</v>
      </c>
      <c r="H119" s="8" t="n">
        <v>34</v>
      </c>
      <c r="I119" s="8" t="inlineStr">
        <is>
          <t>false</t>
        </is>
      </c>
      <c r="J119" s="8" t="n">
        <v>7</v>
      </c>
      <c r="K119" s="8" t="n">
        <v>7417</v>
      </c>
      <c r="L119" s="8" t="n">
        <v>8</v>
      </c>
      <c r="M119" s="10" t="n">
        <v>1.8</v>
      </c>
      <c r="N119" s="8" t="n">
        <v>1</v>
      </c>
      <c r="O119" s="8" t="n">
        <v>9</v>
      </c>
      <c r="P119" s="6">
        <f>LOWER(TRIM(C119))</f>
        <v/>
      </c>
      <c r="Q119" s="6">
        <f>IF(I119="true",1,0)</f>
        <v/>
      </c>
      <c r="R119" s="7">
        <f>IF(K119="","",K119)</f>
        <v/>
      </c>
      <c r="S119" s="6">
        <f>IF(OR(H119="",H119&lt;8,H119&gt;72),"",J119)</f>
        <v/>
      </c>
      <c r="T119" s="6">
        <f>IF(OR(P119="lyrics",P119="instrumental"),1,IF(AND(P119="none",COUNTIFS($B$2:$B$479,B119,$P$2:$P$479,"none")&gt;=3),1,0))</f>
        <v/>
      </c>
    </row>
    <row r="120">
      <c r="A120" s="3" t="n">
        <v>41</v>
      </c>
      <c r="B120" s="4" t="inlineStr">
        <is>
          <t>Participant 3</t>
        </is>
      </c>
      <c r="C120" s="4" t="inlineStr">
        <is>
          <t>instrumental</t>
        </is>
      </c>
      <c r="D120" s="4" t="inlineStr">
        <is>
          <t>2026-10-10T19:59:53.821Z</t>
        </is>
      </c>
      <c r="E120" s="3" t="n">
        <v>2</v>
      </c>
      <c r="F120" s="4" t="inlineStr">
        <is>
          <t>2 1 9 6 2 6 3 5</t>
        </is>
      </c>
      <c r="G120" s="3" t="n">
        <v>34</v>
      </c>
      <c r="H120" s="3" t="n">
        <v>40</v>
      </c>
      <c r="I120" s="3" t="inlineStr">
        <is>
          <t>false</t>
        </is>
      </c>
      <c r="J120" s="3" t="n">
        <v>6</v>
      </c>
      <c r="K120" s="3" t="n">
        <v>5013</v>
      </c>
      <c r="L120" s="3" t="n">
        <v>8</v>
      </c>
      <c r="M120" s="5" t="n">
        <v>1.8</v>
      </c>
      <c r="N120" s="3" t="n">
        <v>1</v>
      </c>
      <c r="O120" s="3" t="n">
        <v>9</v>
      </c>
      <c r="P120" s="6">
        <f>LOWER(TRIM(C120))</f>
        <v/>
      </c>
      <c r="Q120" s="6">
        <f>IF(I120="true",1,0)</f>
        <v/>
      </c>
      <c r="R120" s="7">
        <f>IF(K120="","",K120)</f>
        <v/>
      </c>
      <c r="S120" s="6">
        <f>IF(OR(H120="",H120&lt;8,H120&gt;72),"",J120)</f>
        <v/>
      </c>
      <c r="T120" s="6">
        <f>IF(OR(P120="lyrics",P120="instrumental"),1,IF(AND(P120="none",COUNTIFS($B$2:$B$479,B120,$P$2:$P$479,"none")&gt;=3),1,0))</f>
        <v/>
      </c>
    </row>
    <row r="121">
      <c r="A121" s="8" t="n">
        <v>41</v>
      </c>
      <c r="B121" s="9" t="inlineStr">
        <is>
          <t>Participant 3</t>
        </is>
      </c>
      <c r="C121" s="9" t="inlineStr">
        <is>
          <t>instrumental</t>
        </is>
      </c>
      <c r="D121" s="9" t="inlineStr">
        <is>
          <t>2026-10-10T19:59:53.821Z</t>
        </is>
      </c>
      <c r="E121" s="8" t="n">
        <v>3</v>
      </c>
      <c r="F121" s="9" t="inlineStr">
        <is>
          <t>9 3 9 4 2 3 1 1</t>
        </is>
      </c>
      <c r="G121" s="8" t="n">
        <v>32</v>
      </c>
      <c r="H121" s="8" t="n">
        <v>32</v>
      </c>
      <c r="I121" s="8" t="inlineStr">
        <is>
          <t>true</t>
        </is>
      </c>
      <c r="J121" s="8" t="n">
        <v>0</v>
      </c>
      <c r="K121" s="8" t="n">
        <v>2905</v>
      </c>
      <c r="L121" s="8" t="n">
        <v>8</v>
      </c>
      <c r="M121" s="10" t="n">
        <v>1.8</v>
      </c>
      <c r="N121" s="8" t="n">
        <v>1</v>
      </c>
      <c r="O121" s="8" t="n">
        <v>9</v>
      </c>
      <c r="P121" s="6">
        <f>LOWER(TRIM(C121))</f>
        <v/>
      </c>
      <c r="Q121" s="6">
        <f>IF(I121="true",1,0)</f>
        <v/>
      </c>
      <c r="R121" s="7">
        <f>IF(K121="","",K121)</f>
        <v/>
      </c>
      <c r="S121" s="6">
        <f>IF(OR(H121="",H121&lt;8,H121&gt;72),"",J121)</f>
        <v/>
      </c>
      <c r="T121" s="6">
        <f>IF(OR(P121="lyrics",P121="instrumental"),1,IF(AND(P121="none",COUNTIFS($B$2:$B$479,B121,$P$2:$P$479,"none")&gt;=3),1,0))</f>
        <v/>
      </c>
    </row>
    <row r="122">
      <c r="A122" s="3" t="n">
        <v>42</v>
      </c>
      <c r="B122" s="4" t="inlineStr">
        <is>
          <t>Participant 3</t>
        </is>
      </c>
      <c r="C122" s="4" t="inlineStr">
        <is>
          <t>instrumental</t>
        </is>
      </c>
      <c r="D122" s="4" t="inlineStr">
        <is>
          <t>2026-10-10T20:01:36.433Z</t>
        </is>
      </c>
      <c r="E122" s="3" t="n">
        <v>1</v>
      </c>
      <c r="F122" s="4" t="inlineStr">
        <is>
          <t>7 3 8 2 8 2 5 3</t>
        </is>
      </c>
      <c r="G122" s="3" t="n">
        <v>38</v>
      </c>
      <c r="H122" s="3" t="n">
        <v>49</v>
      </c>
      <c r="I122" s="3" t="inlineStr">
        <is>
          <t>false</t>
        </is>
      </c>
      <c r="J122" s="3" t="n">
        <v>11</v>
      </c>
      <c r="K122" s="3" t="n">
        <v>3270</v>
      </c>
      <c r="L122" s="3" t="n">
        <v>8</v>
      </c>
      <c r="M122" s="5" t="n">
        <v>1.8</v>
      </c>
      <c r="N122" s="3" t="n">
        <v>1</v>
      </c>
      <c r="O122" s="3" t="n">
        <v>9</v>
      </c>
      <c r="P122" s="6">
        <f>LOWER(TRIM(C122))</f>
        <v/>
      </c>
      <c r="Q122" s="6">
        <f>IF(I122="true",1,0)</f>
        <v/>
      </c>
      <c r="R122" s="7">
        <f>IF(K122="","",K122)</f>
        <v/>
      </c>
      <c r="S122" s="6">
        <f>IF(OR(H122="",H122&lt;8,H122&gt;72),"",J122)</f>
        <v/>
      </c>
      <c r="T122" s="6">
        <f>IF(OR(P122="lyrics",P122="instrumental"),1,IF(AND(P122="none",COUNTIFS($B$2:$B$479,B122,$P$2:$P$479,"none")&gt;=3),1,0))</f>
        <v/>
      </c>
    </row>
    <row r="123">
      <c r="A123" s="8" t="n">
        <v>42</v>
      </c>
      <c r="B123" s="9" t="inlineStr">
        <is>
          <t>Participant 3</t>
        </is>
      </c>
      <c r="C123" s="9" t="inlineStr">
        <is>
          <t>instrumental</t>
        </is>
      </c>
      <c r="D123" s="9" t="inlineStr">
        <is>
          <t>2026-10-10T20:01:36.433Z</t>
        </is>
      </c>
      <c r="E123" s="8" t="n">
        <v>2</v>
      </c>
      <c r="F123" s="9" t="inlineStr">
        <is>
          <t>6 8 5 9 2 3 1 6</t>
        </is>
      </c>
      <c r="G123" s="8" t="n">
        <v>40</v>
      </c>
      <c r="H123" s="8" t="n">
        <v>56</v>
      </c>
      <c r="I123" s="8" t="inlineStr">
        <is>
          <t>false</t>
        </is>
      </c>
      <c r="J123" s="8" t="n">
        <v>16</v>
      </c>
      <c r="K123" s="8" t="n">
        <v>2753</v>
      </c>
      <c r="L123" s="8" t="n">
        <v>8</v>
      </c>
      <c r="M123" s="10" t="n">
        <v>1.8</v>
      </c>
      <c r="N123" s="8" t="n">
        <v>1</v>
      </c>
      <c r="O123" s="8" t="n">
        <v>9</v>
      </c>
      <c r="P123" s="6">
        <f>LOWER(TRIM(C123))</f>
        <v/>
      </c>
      <c r="Q123" s="6">
        <f>IF(I123="true",1,0)</f>
        <v/>
      </c>
      <c r="R123" s="7">
        <f>IF(K123="","",K123)</f>
        <v/>
      </c>
      <c r="S123" s="6">
        <f>IF(OR(H123="",H123&lt;8,H123&gt;72),"",J123)</f>
        <v/>
      </c>
      <c r="T123" s="6">
        <f>IF(OR(P123="lyrics",P123="instrumental"),1,IF(AND(P123="none",COUNTIFS($B$2:$B$479,B123,$P$2:$P$479,"none")&gt;=3),1,0))</f>
        <v/>
      </c>
    </row>
    <row r="124">
      <c r="A124" s="3" t="n">
        <v>42</v>
      </c>
      <c r="B124" s="4" t="inlineStr">
        <is>
          <t>Participant 3</t>
        </is>
      </c>
      <c r="C124" s="4" t="inlineStr">
        <is>
          <t>instrumental</t>
        </is>
      </c>
      <c r="D124" s="4" t="inlineStr">
        <is>
          <t>2026-10-10T20:01:36.433Z</t>
        </is>
      </c>
      <c r="E124" s="3" t="n">
        <v>3</v>
      </c>
      <c r="F124" s="4" t="inlineStr">
        <is>
          <t>9 1 8 8 4 9 9 9</t>
        </is>
      </c>
      <c r="G124" s="3" t="n">
        <v>57</v>
      </c>
      <c r="H124" s="3" t="n">
        <v>60</v>
      </c>
      <c r="I124" s="3" t="inlineStr">
        <is>
          <t>false</t>
        </is>
      </c>
      <c r="J124" s="3" t="n">
        <v>3</v>
      </c>
      <c r="K124" s="3" t="n">
        <v>4993</v>
      </c>
      <c r="L124" s="3" t="n">
        <v>8</v>
      </c>
      <c r="M124" s="5" t="n">
        <v>1.8</v>
      </c>
      <c r="N124" s="3" t="n">
        <v>1</v>
      </c>
      <c r="O124" s="3" t="n">
        <v>9</v>
      </c>
      <c r="P124" s="6">
        <f>LOWER(TRIM(C124))</f>
        <v/>
      </c>
      <c r="Q124" s="6">
        <f>IF(I124="true",1,0)</f>
        <v/>
      </c>
      <c r="R124" s="7">
        <f>IF(K124="","",K124)</f>
        <v/>
      </c>
      <c r="S124" s="6">
        <f>IF(OR(H124="",H124&lt;8,H124&gt;72),"",J124)</f>
        <v/>
      </c>
      <c r="T124" s="6">
        <f>IF(OR(P124="lyrics",P124="instrumental"),1,IF(AND(P124="none",COUNTIFS($B$2:$B$479,B124,$P$2:$P$479,"none")&gt;=3),1,0))</f>
        <v/>
      </c>
    </row>
    <row r="125">
      <c r="A125" s="8" t="n">
        <v>43</v>
      </c>
      <c r="B125" s="9" t="inlineStr">
        <is>
          <t>Participant 3</t>
        </is>
      </c>
      <c r="C125" s="9" t="inlineStr">
        <is>
          <t>lyrics</t>
        </is>
      </c>
      <c r="D125" s="9" t="inlineStr">
        <is>
          <t>2026-10-10T20:03:06.315Z</t>
        </is>
      </c>
      <c r="E125" s="8" t="n">
        <v>1</v>
      </c>
      <c r="F125" s="9" t="inlineStr">
        <is>
          <t>4 6 5 5 6 8 2 4</t>
        </is>
      </c>
      <c r="G125" s="8" t="n">
        <v>40</v>
      </c>
      <c r="H125" s="8" t="n">
        <v>36</v>
      </c>
      <c r="I125" s="8" t="inlineStr">
        <is>
          <t>false</t>
        </is>
      </c>
      <c r="J125" s="8" t="n">
        <v>4</v>
      </c>
      <c r="K125" s="8" t="n">
        <v>4085</v>
      </c>
      <c r="L125" s="8" t="n">
        <v>8</v>
      </c>
      <c r="M125" s="10" t="n">
        <v>1.8</v>
      </c>
      <c r="N125" s="8" t="n">
        <v>1</v>
      </c>
      <c r="O125" s="8" t="n">
        <v>9</v>
      </c>
      <c r="P125" s="6">
        <f>LOWER(TRIM(C125))</f>
        <v/>
      </c>
      <c r="Q125" s="6">
        <f>IF(I125="true",1,0)</f>
        <v/>
      </c>
      <c r="R125" s="7">
        <f>IF(K125="","",K125)</f>
        <v/>
      </c>
      <c r="S125" s="6">
        <f>IF(OR(H125="",H125&lt;8,H125&gt;72),"",J125)</f>
        <v/>
      </c>
      <c r="T125" s="6">
        <f>IF(OR(P125="lyrics",P125="instrumental"),1,IF(AND(P125="none",COUNTIFS($B$2:$B$479,B125,$P$2:$P$479,"none")&gt;=3),1,0))</f>
        <v/>
      </c>
    </row>
    <row r="126">
      <c r="A126" s="3" t="n">
        <v>43</v>
      </c>
      <c r="B126" s="4" t="inlineStr">
        <is>
          <t>Participant 3</t>
        </is>
      </c>
      <c r="C126" s="4" t="inlineStr">
        <is>
          <t>lyrics</t>
        </is>
      </c>
      <c r="D126" s="4" t="inlineStr">
        <is>
          <t>2026-10-10T20:03:06.315Z</t>
        </is>
      </c>
      <c r="E126" s="3" t="n">
        <v>2</v>
      </c>
      <c r="F126" s="4" t="inlineStr">
        <is>
          <t>2 7 7 7 7 8 4 1</t>
        </is>
      </c>
      <c r="G126" s="3" t="n">
        <v>43</v>
      </c>
      <c r="H126" s="3" t="n">
        <v>35</v>
      </c>
      <c r="I126" s="3" t="inlineStr">
        <is>
          <t>false</t>
        </is>
      </c>
      <c r="J126" s="3" t="n">
        <v>8</v>
      </c>
      <c r="K126" s="3" t="n">
        <v>3298</v>
      </c>
      <c r="L126" s="3" t="n">
        <v>8</v>
      </c>
      <c r="M126" s="5" t="n">
        <v>1.8</v>
      </c>
      <c r="N126" s="3" t="n">
        <v>1</v>
      </c>
      <c r="O126" s="3" t="n">
        <v>9</v>
      </c>
      <c r="P126" s="6">
        <f>LOWER(TRIM(C126))</f>
        <v/>
      </c>
      <c r="Q126" s="6">
        <f>IF(I126="true",1,0)</f>
        <v/>
      </c>
      <c r="R126" s="7">
        <f>IF(K126="","",K126)</f>
        <v/>
      </c>
      <c r="S126" s="6">
        <f>IF(OR(H126="",H126&lt;8,H126&gt;72),"",J126)</f>
        <v/>
      </c>
      <c r="T126" s="6">
        <f>IF(OR(P126="lyrics",P126="instrumental"),1,IF(AND(P126="none",COUNTIFS($B$2:$B$479,B126,$P$2:$P$479,"none")&gt;=3),1,0))</f>
        <v/>
      </c>
    </row>
    <row r="127">
      <c r="A127" s="8" t="n">
        <v>43</v>
      </c>
      <c r="B127" s="9" t="inlineStr">
        <is>
          <t>Participant 3</t>
        </is>
      </c>
      <c r="C127" s="9" t="inlineStr">
        <is>
          <t>lyrics</t>
        </is>
      </c>
      <c r="D127" s="9" t="inlineStr">
        <is>
          <t>2026-10-10T20:03:06.315Z</t>
        </is>
      </c>
      <c r="E127" s="8" t="n">
        <v>3</v>
      </c>
      <c r="F127" s="9" t="inlineStr">
        <is>
          <t>4 2 3 3 3 2 8 3</t>
        </is>
      </c>
      <c r="G127" s="8" t="n">
        <v>28</v>
      </c>
      <c r="H127" s="8" t="n">
        <v>40</v>
      </c>
      <c r="I127" s="8" t="inlineStr">
        <is>
          <t>false</t>
        </is>
      </c>
      <c r="J127" s="8" t="n">
        <v>12</v>
      </c>
      <c r="K127" s="8" t="n">
        <v>2507</v>
      </c>
      <c r="L127" s="8" t="n">
        <v>8</v>
      </c>
      <c r="M127" s="10" t="n">
        <v>1.8</v>
      </c>
      <c r="N127" s="8" t="n">
        <v>1</v>
      </c>
      <c r="O127" s="8" t="n">
        <v>9</v>
      </c>
      <c r="P127" s="6">
        <f>LOWER(TRIM(C127))</f>
        <v/>
      </c>
      <c r="Q127" s="6">
        <f>IF(I127="true",1,0)</f>
        <v/>
      </c>
      <c r="R127" s="7">
        <f>IF(K127="","",K127)</f>
        <v/>
      </c>
      <c r="S127" s="6">
        <f>IF(OR(H127="",H127&lt;8,H127&gt;72),"",J127)</f>
        <v/>
      </c>
      <c r="T127" s="6">
        <f>IF(OR(P127="lyrics",P127="instrumental"),1,IF(AND(P127="none",COUNTIFS($B$2:$B$479,B127,$P$2:$P$479,"none")&gt;=3),1,0))</f>
        <v/>
      </c>
    </row>
    <row r="128">
      <c r="A128" s="3" t="n">
        <v>44</v>
      </c>
      <c r="B128" s="4" t="inlineStr">
        <is>
          <t>Participant 3</t>
        </is>
      </c>
      <c r="C128" s="4" t="inlineStr">
        <is>
          <t>lyrics</t>
        </is>
      </c>
      <c r="D128" s="4" t="inlineStr">
        <is>
          <t>2026-10-10T20:05:07.181Z</t>
        </is>
      </c>
      <c r="E128" s="3" t="n">
        <v>1</v>
      </c>
      <c r="F128" s="4" t="inlineStr">
        <is>
          <t>5 8 2 3 4 4 3 5</t>
        </is>
      </c>
      <c r="G128" s="3" t="n">
        <v>34</v>
      </c>
      <c r="H128" s="3" t="n">
        <v>29</v>
      </c>
      <c r="I128" s="3" t="inlineStr">
        <is>
          <t>false</t>
        </is>
      </c>
      <c r="J128" s="3" t="n">
        <v>5</v>
      </c>
      <c r="K128" s="3" t="n">
        <v>3316</v>
      </c>
      <c r="L128" s="3" t="n">
        <v>8</v>
      </c>
      <c r="M128" s="5" t="n">
        <v>1.8</v>
      </c>
      <c r="N128" s="3" t="n">
        <v>1</v>
      </c>
      <c r="O128" s="3" t="n">
        <v>9</v>
      </c>
      <c r="P128" s="6">
        <f>LOWER(TRIM(C128))</f>
        <v/>
      </c>
      <c r="Q128" s="6">
        <f>IF(I128="true",1,0)</f>
        <v/>
      </c>
      <c r="R128" s="7">
        <f>IF(K128="","",K128)</f>
        <v/>
      </c>
      <c r="S128" s="6">
        <f>IF(OR(H128="",H128&lt;8,H128&gt;72),"",J128)</f>
        <v/>
      </c>
      <c r="T128" s="6">
        <f>IF(OR(P128="lyrics",P128="instrumental"),1,IF(AND(P128="none",COUNTIFS($B$2:$B$479,B128,$P$2:$P$479,"none")&gt;=3),1,0))</f>
        <v/>
      </c>
    </row>
    <row r="129">
      <c r="A129" s="8" t="n">
        <v>44</v>
      </c>
      <c r="B129" s="9" t="inlineStr">
        <is>
          <t>Participant 3</t>
        </is>
      </c>
      <c r="C129" s="9" t="inlineStr">
        <is>
          <t>lyrics</t>
        </is>
      </c>
      <c r="D129" s="9" t="inlineStr">
        <is>
          <t>2026-10-10T20:05:07.181Z</t>
        </is>
      </c>
      <c r="E129" s="8" t="n">
        <v>2</v>
      </c>
      <c r="F129" s="9" t="inlineStr">
        <is>
          <t>4 5 7 3 6 2 1 7</t>
        </is>
      </c>
      <c r="G129" s="8" t="n">
        <v>35</v>
      </c>
      <c r="H129" s="8" t="n">
        <v>45</v>
      </c>
      <c r="I129" s="8" t="inlineStr">
        <is>
          <t>false</t>
        </is>
      </c>
      <c r="J129" s="8" t="n">
        <v>10</v>
      </c>
      <c r="K129" s="8" t="n">
        <v>3049</v>
      </c>
      <c r="L129" s="8" t="n">
        <v>8</v>
      </c>
      <c r="M129" s="10" t="n">
        <v>1.8</v>
      </c>
      <c r="N129" s="8" t="n">
        <v>1</v>
      </c>
      <c r="O129" s="8" t="n">
        <v>9</v>
      </c>
      <c r="P129" s="6">
        <f>LOWER(TRIM(C129))</f>
        <v/>
      </c>
      <c r="Q129" s="6">
        <f>IF(I129="true",1,0)</f>
        <v/>
      </c>
      <c r="R129" s="7">
        <f>IF(K129="","",K129)</f>
        <v/>
      </c>
      <c r="S129" s="6">
        <f>IF(OR(H129="",H129&lt;8,H129&gt;72),"",J129)</f>
        <v/>
      </c>
      <c r="T129" s="6">
        <f>IF(OR(P129="lyrics",P129="instrumental"),1,IF(AND(P129="none",COUNTIFS($B$2:$B$479,B129,$P$2:$P$479,"none")&gt;=3),1,0))</f>
        <v/>
      </c>
    </row>
    <row r="130">
      <c r="A130" s="3" t="n">
        <v>44</v>
      </c>
      <c r="B130" s="4" t="inlineStr">
        <is>
          <t>Participant 3</t>
        </is>
      </c>
      <c r="C130" s="4" t="inlineStr">
        <is>
          <t>lyrics</t>
        </is>
      </c>
      <c r="D130" s="4" t="inlineStr">
        <is>
          <t>2026-10-10T20:05:07.181Z</t>
        </is>
      </c>
      <c r="E130" s="3" t="n">
        <v>3</v>
      </c>
      <c r="F130" s="4" t="inlineStr">
        <is>
          <t>3 2 9 7 9 8 5 7</t>
        </is>
      </c>
      <c r="G130" s="3" t="n">
        <v>50</v>
      </c>
      <c r="H130" s="3" t="n">
        <v>47</v>
      </c>
      <c r="I130" s="3" t="inlineStr">
        <is>
          <t>false</t>
        </is>
      </c>
      <c r="J130" s="3" t="n">
        <v>3</v>
      </c>
      <c r="K130" s="3" t="n">
        <v>5661</v>
      </c>
      <c r="L130" s="3" t="n">
        <v>8</v>
      </c>
      <c r="M130" s="5" t="n">
        <v>1.8</v>
      </c>
      <c r="N130" s="3" t="n">
        <v>1</v>
      </c>
      <c r="O130" s="3" t="n">
        <v>9</v>
      </c>
      <c r="P130" s="6">
        <f>LOWER(TRIM(C130))</f>
        <v/>
      </c>
      <c r="Q130" s="6">
        <f>IF(I130="true",1,0)</f>
        <v/>
      </c>
      <c r="R130" s="7">
        <f>IF(K130="","",K130)</f>
        <v/>
      </c>
      <c r="S130" s="6">
        <f>IF(OR(H130="",H130&lt;8,H130&gt;72),"",J130)</f>
        <v/>
      </c>
      <c r="T130" s="6">
        <f>IF(OR(P130="lyrics",P130="instrumental"),1,IF(AND(P130="none",COUNTIFS($B$2:$B$479,B130,$P$2:$P$479,"none")&gt;=3),1,0))</f>
        <v/>
      </c>
    </row>
    <row r="131">
      <c r="A131" s="8" t="n">
        <v>45</v>
      </c>
      <c r="B131" s="9" t="inlineStr">
        <is>
          <t>Participant 3</t>
        </is>
      </c>
      <c r="C131" s="9" t="inlineStr">
        <is>
          <t>instrumental</t>
        </is>
      </c>
      <c r="D131" s="9" t="inlineStr">
        <is>
          <t>2026-10-10T20:06:51.699Z</t>
        </is>
      </c>
      <c r="E131" s="8" t="n">
        <v>1</v>
      </c>
      <c r="F131" s="9" t="inlineStr">
        <is>
          <t>7 8 1 8 7 4 5 6</t>
        </is>
      </c>
      <c r="G131" s="8" t="n">
        <v>46</v>
      </c>
      <c r="H131" s="8" t="n">
        <v>56</v>
      </c>
      <c r="I131" s="8" t="inlineStr">
        <is>
          <t>false</t>
        </is>
      </c>
      <c r="J131" s="8" t="n">
        <v>10</v>
      </c>
      <c r="K131" s="8" t="n">
        <v>2132</v>
      </c>
      <c r="L131" s="8" t="n">
        <v>8</v>
      </c>
      <c r="M131" s="10" t="n">
        <v>1.8</v>
      </c>
      <c r="N131" s="8" t="n">
        <v>1</v>
      </c>
      <c r="O131" s="8" t="n">
        <v>9</v>
      </c>
      <c r="P131" s="6">
        <f>LOWER(TRIM(C131))</f>
        <v/>
      </c>
      <c r="Q131" s="6">
        <f>IF(I131="true",1,0)</f>
        <v/>
      </c>
      <c r="R131" s="7">
        <f>IF(K131="","",K131)</f>
        <v/>
      </c>
      <c r="S131" s="6">
        <f>IF(OR(H131="",H131&lt;8,H131&gt;72),"",J131)</f>
        <v/>
      </c>
      <c r="T131" s="6">
        <f>IF(OR(P131="lyrics",P131="instrumental"),1,IF(AND(P131="none",COUNTIFS($B$2:$B$479,B131,$P$2:$P$479,"none")&gt;=3),1,0))</f>
        <v/>
      </c>
    </row>
    <row r="132">
      <c r="A132" s="3" t="n">
        <v>45</v>
      </c>
      <c r="B132" s="4" t="inlineStr">
        <is>
          <t>Participant 3</t>
        </is>
      </c>
      <c r="C132" s="4" t="inlineStr">
        <is>
          <t>instrumental</t>
        </is>
      </c>
      <c r="D132" s="4" t="inlineStr">
        <is>
          <t>2026-10-10T20:06:51.699Z</t>
        </is>
      </c>
      <c r="E132" s="3" t="n">
        <v>2</v>
      </c>
      <c r="F132" s="4" t="inlineStr">
        <is>
          <t>3 4 1 2 5 3 6 5</t>
        </is>
      </c>
      <c r="G132" s="3" t="n">
        <v>29</v>
      </c>
      <c r="H132" s="3" t="n">
        <v>60</v>
      </c>
      <c r="I132" s="3" t="inlineStr">
        <is>
          <t>false</t>
        </is>
      </c>
      <c r="J132" s="3" t="n">
        <v>31</v>
      </c>
      <c r="K132" s="3" t="n">
        <v>2243</v>
      </c>
      <c r="L132" s="3" t="n">
        <v>8</v>
      </c>
      <c r="M132" s="5" t="n">
        <v>1.8</v>
      </c>
      <c r="N132" s="3" t="n">
        <v>1</v>
      </c>
      <c r="O132" s="3" t="n">
        <v>9</v>
      </c>
      <c r="P132" s="6">
        <f>LOWER(TRIM(C132))</f>
        <v/>
      </c>
      <c r="Q132" s="6">
        <f>IF(I132="true",1,0)</f>
        <v/>
      </c>
      <c r="R132" s="7">
        <f>IF(K132="","",K132)</f>
        <v/>
      </c>
      <c r="S132" s="6">
        <f>IF(OR(H132="",H132&lt;8,H132&gt;72),"",J132)</f>
        <v/>
      </c>
      <c r="T132" s="6">
        <f>IF(OR(P132="lyrics",P132="instrumental"),1,IF(AND(P132="none",COUNTIFS($B$2:$B$479,B132,$P$2:$P$479,"none")&gt;=3),1,0))</f>
        <v/>
      </c>
    </row>
    <row r="133">
      <c r="A133" s="8" t="n">
        <v>45</v>
      </c>
      <c r="B133" s="9" t="inlineStr">
        <is>
          <t>Participant 3</t>
        </is>
      </c>
      <c r="C133" s="9" t="inlineStr">
        <is>
          <t>instrumental</t>
        </is>
      </c>
      <c r="D133" s="9" t="inlineStr">
        <is>
          <t>2026-10-10T20:06:51.699Z</t>
        </is>
      </c>
      <c r="E133" s="8" t="n">
        <v>3</v>
      </c>
      <c r="F133" s="9" t="inlineStr">
        <is>
          <t>4 5 2 2 8 8 9 8</t>
        </is>
      </c>
      <c r="G133" s="8" t="n">
        <v>46</v>
      </c>
      <c r="H133" s="8" t="n">
        <v>70</v>
      </c>
      <c r="I133" s="8" t="inlineStr">
        <is>
          <t>false</t>
        </is>
      </c>
      <c r="J133" s="8" t="n">
        <v>24</v>
      </c>
      <c r="K133" s="8" t="n">
        <v>1517</v>
      </c>
      <c r="L133" s="8" t="n">
        <v>8</v>
      </c>
      <c r="M133" s="10" t="n">
        <v>1.8</v>
      </c>
      <c r="N133" s="8" t="n">
        <v>1</v>
      </c>
      <c r="O133" s="8" t="n">
        <v>9</v>
      </c>
      <c r="P133" s="6">
        <f>LOWER(TRIM(C133))</f>
        <v/>
      </c>
      <c r="Q133" s="6">
        <f>IF(I133="true",1,0)</f>
        <v/>
      </c>
      <c r="R133" s="7">
        <f>IF(K133="","",K133)</f>
        <v/>
      </c>
      <c r="S133" s="6">
        <f>IF(OR(H133="",H133&lt;8,H133&gt;72),"",J133)</f>
        <v/>
      </c>
      <c r="T133" s="6">
        <f>IF(OR(P133="lyrics",P133="instrumental"),1,IF(AND(P133="none",COUNTIFS($B$2:$B$479,B133,$P$2:$P$479,"none")&gt;=3),1,0))</f>
        <v/>
      </c>
    </row>
    <row r="134">
      <c r="A134" s="3" t="n">
        <v>46</v>
      </c>
      <c r="B134" s="4" t="inlineStr">
        <is>
          <t>Participant 3</t>
        </is>
      </c>
      <c r="C134" s="4" t="inlineStr">
        <is>
          <t>instrumental</t>
        </is>
      </c>
      <c r="D134" s="4" t="inlineStr">
        <is>
          <t>2026-10-10T20:09:05.143Z</t>
        </is>
      </c>
      <c r="E134" s="3" t="n">
        <v>1</v>
      </c>
      <c r="F134" s="4" t="inlineStr">
        <is>
          <t>4 8 7 7 3 4 3 4</t>
        </is>
      </c>
      <c r="G134" s="3" t="n">
        <v>40</v>
      </c>
      <c r="H134" s="3" t="n">
        <v>46</v>
      </c>
      <c r="I134" s="3" t="inlineStr">
        <is>
          <t>false</t>
        </is>
      </c>
      <c r="J134" s="3" t="n">
        <v>6</v>
      </c>
      <c r="K134" s="3" t="n">
        <v>2260</v>
      </c>
      <c r="L134" s="3" t="n">
        <v>8</v>
      </c>
      <c r="M134" s="5" t="n">
        <v>1.8</v>
      </c>
      <c r="N134" s="3" t="n">
        <v>1</v>
      </c>
      <c r="O134" s="3" t="n">
        <v>9</v>
      </c>
      <c r="P134" s="6">
        <f>LOWER(TRIM(C134))</f>
        <v/>
      </c>
      <c r="Q134" s="6">
        <f>IF(I134="true",1,0)</f>
        <v/>
      </c>
      <c r="R134" s="7">
        <f>IF(K134="","",K134)</f>
        <v/>
      </c>
      <c r="S134" s="6">
        <f>IF(OR(H134="",H134&lt;8,H134&gt;72),"",J134)</f>
        <v/>
      </c>
      <c r="T134" s="6">
        <f>IF(OR(P134="lyrics",P134="instrumental"),1,IF(AND(P134="none",COUNTIFS($B$2:$B$479,B134,$P$2:$P$479,"none")&gt;=3),1,0))</f>
        <v/>
      </c>
    </row>
    <row r="135">
      <c r="A135" s="8" t="n">
        <v>46</v>
      </c>
      <c r="B135" s="9" t="inlineStr">
        <is>
          <t>Participant 3</t>
        </is>
      </c>
      <c r="C135" s="9" t="inlineStr">
        <is>
          <t>instrumental</t>
        </is>
      </c>
      <c r="D135" s="9" t="inlineStr">
        <is>
          <t>2026-10-10T20:09:05.143Z</t>
        </is>
      </c>
      <c r="E135" s="8" t="n">
        <v>2</v>
      </c>
      <c r="F135" s="9" t="inlineStr">
        <is>
          <t>7 2 6 5 3 1 1 8</t>
        </is>
      </c>
      <c r="G135" s="8" t="n">
        <v>33</v>
      </c>
      <c r="H135" s="8" t="n">
        <v>39</v>
      </c>
      <c r="I135" s="8" t="inlineStr">
        <is>
          <t>false</t>
        </is>
      </c>
      <c r="J135" s="8" t="n">
        <v>6</v>
      </c>
      <c r="K135" s="8" t="n">
        <v>4300</v>
      </c>
      <c r="L135" s="8" t="n">
        <v>8</v>
      </c>
      <c r="M135" s="10" t="n">
        <v>1.8</v>
      </c>
      <c r="N135" s="8" t="n">
        <v>1</v>
      </c>
      <c r="O135" s="8" t="n">
        <v>9</v>
      </c>
      <c r="P135" s="6">
        <f>LOWER(TRIM(C135))</f>
        <v/>
      </c>
      <c r="Q135" s="6">
        <f>IF(I135="true",1,0)</f>
        <v/>
      </c>
      <c r="R135" s="7">
        <f>IF(K135="","",K135)</f>
        <v/>
      </c>
      <c r="S135" s="6">
        <f>IF(OR(H135="",H135&lt;8,H135&gt;72),"",J135)</f>
        <v/>
      </c>
      <c r="T135" s="6">
        <f>IF(OR(P135="lyrics",P135="instrumental"),1,IF(AND(P135="none",COUNTIFS($B$2:$B$479,B135,$P$2:$P$479,"none")&gt;=3),1,0))</f>
        <v/>
      </c>
    </row>
    <row r="136">
      <c r="A136" s="3" t="n">
        <v>46</v>
      </c>
      <c r="B136" s="4" t="inlineStr">
        <is>
          <t>Participant 3</t>
        </is>
      </c>
      <c r="C136" s="4" t="inlineStr">
        <is>
          <t>instrumental</t>
        </is>
      </c>
      <c r="D136" s="4" t="inlineStr">
        <is>
          <t>2026-10-10T20:09:05.143Z</t>
        </is>
      </c>
      <c r="E136" s="3" t="n">
        <v>3</v>
      </c>
      <c r="F136" s="4" t="inlineStr">
        <is>
          <t>9 1 4 3 2 2 2 4</t>
        </is>
      </c>
      <c r="G136" s="3" t="n">
        <v>27</v>
      </c>
      <c r="H136" s="3" t="n">
        <v>29</v>
      </c>
      <c r="I136" s="3" t="inlineStr">
        <is>
          <t>false</t>
        </is>
      </c>
      <c r="J136" s="3" t="n">
        <v>2</v>
      </c>
      <c r="K136" s="3" t="n">
        <v>6258</v>
      </c>
      <c r="L136" s="3" t="n">
        <v>8</v>
      </c>
      <c r="M136" s="5" t="n">
        <v>1.8</v>
      </c>
      <c r="N136" s="3" t="n">
        <v>1</v>
      </c>
      <c r="O136" s="3" t="n">
        <v>9</v>
      </c>
      <c r="P136" s="6">
        <f>LOWER(TRIM(C136))</f>
        <v/>
      </c>
      <c r="Q136" s="6">
        <f>IF(I136="true",1,0)</f>
        <v/>
      </c>
      <c r="R136" s="7">
        <f>IF(K136="","",K136)</f>
        <v/>
      </c>
      <c r="S136" s="6">
        <f>IF(OR(H136="",H136&lt;8,H136&gt;72),"",J136)</f>
        <v/>
      </c>
      <c r="T136" s="6">
        <f>IF(OR(P136="lyrics",P136="instrumental"),1,IF(AND(P136="none",COUNTIFS($B$2:$B$479,B136,$P$2:$P$479,"none")&gt;=3),1,0))</f>
        <v/>
      </c>
    </row>
    <row r="137">
      <c r="A137" s="8" t="n">
        <v>47</v>
      </c>
      <c r="B137" s="9" t="inlineStr">
        <is>
          <t>Participant 4</t>
        </is>
      </c>
      <c r="C137" s="9" t="inlineStr">
        <is>
          <t>none</t>
        </is>
      </c>
      <c r="D137" s="9" t="inlineStr">
        <is>
          <t>2026-10-11T17:03:57.747Z</t>
        </is>
      </c>
      <c r="E137" s="8" t="n">
        <v>1</v>
      </c>
      <c r="F137" s="9" t="inlineStr">
        <is>
          <t>5 6 9 7 6 6 4 7</t>
        </is>
      </c>
      <c r="G137" s="8" t="n">
        <v>50</v>
      </c>
      <c r="H137" s="8" t="n">
        <v>50</v>
      </c>
      <c r="I137" s="8" t="inlineStr">
        <is>
          <t>true</t>
        </is>
      </c>
      <c r="J137" s="8" t="n">
        <v>0</v>
      </c>
      <c r="K137" s="8" t="n">
        <v>1645</v>
      </c>
      <c r="L137" s="8" t="n">
        <v>8</v>
      </c>
      <c r="M137" s="10" t="n">
        <v>1.8</v>
      </c>
      <c r="N137" s="8" t="n">
        <v>1</v>
      </c>
      <c r="O137" s="8" t="n">
        <v>9</v>
      </c>
      <c r="P137" s="6">
        <f>LOWER(TRIM(C137))</f>
        <v/>
      </c>
      <c r="Q137" s="6">
        <f>IF(I137="true",1,0)</f>
        <v/>
      </c>
      <c r="R137" s="7">
        <f>IF(K137="","",K137)</f>
        <v/>
      </c>
      <c r="S137" s="6">
        <f>IF(OR(H137="",H137&lt;8,H137&gt;72),"",J137)</f>
        <v/>
      </c>
      <c r="T137" s="6">
        <f>IF(OR(P137="lyrics",P137="instrumental"),1,IF(AND(P137="none",COUNTIFS($B$2:$B$479,B137,$P$2:$P$479,"none")&gt;=3),1,0))</f>
        <v/>
      </c>
    </row>
    <row r="138">
      <c r="A138" s="3" t="n">
        <v>47</v>
      </c>
      <c r="B138" s="4" t="inlineStr">
        <is>
          <t>Participant 4</t>
        </is>
      </c>
      <c r="C138" s="4" t="inlineStr">
        <is>
          <t>none</t>
        </is>
      </c>
      <c r="D138" s="4" t="inlineStr">
        <is>
          <t>2026-10-11T17:03:57.747Z</t>
        </is>
      </c>
      <c r="E138" s="3" t="n">
        <v>2</v>
      </c>
      <c r="F138" s="4" t="inlineStr">
        <is>
          <t>8 2 8 9 1 3 1 4</t>
        </is>
      </c>
      <c r="G138" s="3" t="n">
        <v>36</v>
      </c>
      <c r="H138" s="3" t="n">
        <v>36</v>
      </c>
      <c r="I138" s="3" t="inlineStr">
        <is>
          <t>true</t>
        </is>
      </c>
      <c r="J138" s="3" t="n">
        <v>0</v>
      </c>
      <c r="K138" s="3" t="n">
        <v>4698</v>
      </c>
      <c r="L138" s="3" t="n">
        <v>8</v>
      </c>
      <c r="M138" s="5" t="n">
        <v>1.8</v>
      </c>
      <c r="N138" s="3" t="n">
        <v>1</v>
      </c>
      <c r="O138" s="3" t="n">
        <v>9</v>
      </c>
      <c r="P138" s="6">
        <f>LOWER(TRIM(C138))</f>
        <v/>
      </c>
      <c r="Q138" s="6">
        <f>IF(I138="true",1,0)</f>
        <v/>
      </c>
      <c r="R138" s="7">
        <f>IF(K138="","",K138)</f>
        <v/>
      </c>
      <c r="S138" s="6">
        <f>IF(OR(H138="",H138&lt;8,H138&gt;72),"",J138)</f>
        <v/>
      </c>
      <c r="T138" s="6">
        <f>IF(OR(P138="lyrics",P138="instrumental"),1,IF(AND(P138="none",COUNTIFS($B$2:$B$479,B138,$P$2:$P$479,"none")&gt;=3),1,0))</f>
        <v/>
      </c>
    </row>
    <row r="139">
      <c r="A139" s="8" t="n">
        <v>48</v>
      </c>
      <c r="B139" s="9" t="inlineStr">
        <is>
          <t>Participant 4</t>
        </is>
      </c>
      <c r="C139" s="9" t="inlineStr">
        <is>
          <t>instrumental</t>
        </is>
      </c>
      <c r="D139" s="9" t="inlineStr">
        <is>
          <t>2026-10-11T17:06:33.341Z</t>
        </is>
      </c>
      <c r="E139" s="8" t="n">
        <v>1</v>
      </c>
      <c r="F139" s="9" t="inlineStr">
        <is>
          <t>1 5 5 6 7 4 7 5</t>
        </is>
      </c>
      <c r="G139" s="8" t="n">
        <v>40</v>
      </c>
      <c r="H139" s="8" t="n">
        <v>38</v>
      </c>
      <c r="I139" s="8" t="inlineStr">
        <is>
          <t>false</t>
        </is>
      </c>
      <c r="J139" s="8" t="n">
        <v>2</v>
      </c>
      <c r="K139" s="8" t="n">
        <v>3861</v>
      </c>
      <c r="L139" s="8" t="n">
        <v>8</v>
      </c>
      <c r="M139" s="10" t="n">
        <v>1.8</v>
      </c>
      <c r="N139" s="8" t="n">
        <v>1</v>
      </c>
      <c r="O139" s="8" t="n">
        <v>9</v>
      </c>
      <c r="P139" s="6">
        <f>LOWER(TRIM(C139))</f>
        <v/>
      </c>
      <c r="Q139" s="6">
        <f>IF(I139="true",1,0)</f>
        <v/>
      </c>
      <c r="R139" s="7">
        <f>IF(K139="","",K139)</f>
        <v/>
      </c>
      <c r="S139" s="6">
        <f>IF(OR(H139="",H139&lt;8,H139&gt;72),"",J139)</f>
        <v/>
      </c>
      <c r="T139" s="6">
        <f>IF(OR(P139="lyrics",P139="instrumental"),1,IF(AND(P139="none",COUNTIFS($B$2:$B$479,B139,$P$2:$P$479,"none")&gt;=3),1,0))</f>
        <v/>
      </c>
    </row>
    <row r="140">
      <c r="A140" s="3" t="n">
        <v>48</v>
      </c>
      <c r="B140" s="4" t="inlineStr">
        <is>
          <t>Participant 4</t>
        </is>
      </c>
      <c r="C140" s="4" t="inlineStr">
        <is>
          <t>instrumental</t>
        </is>
      </c>
      <c r="D140" s="4" t="inlineStr">
        <is>
          <t>2026-10-11T17:06:33.341Z</t>
        </is>
      </c>
      <c r="E140" s="3" t="n">
        <v>2</v>
      </c>
      <c r="F140" s="4" t="inlineStr">
        <is>
          <t>3 9 6 4 5 6 4 9</t>
        </is>
      </c>
      <c r="G140" s="3" t="n">
        <v>46</v>
      </c>
      <c r="H140" s="3" t="n">
        <v>46</v>
      </c>
      <c r="I140" s="3" t="inlineStr">
        <is>
          <t>true</t>
        </is>
      </c>
      <c r="J140" s="3" t="n">
        <v>0</v>
      </c>
      <c r="K140" s="3" t="n">
        <v>4871</v>
      </c>
      <c r="L140" s="3" t="n">
        <v>8</v>
      </c>
      <c r="M140" s="5" t="n">
        <v>1.8</v>
      </c>
      <c r="N140" s="3" t="n">
        <v>1</v>
      </c>
      <c r="O140" s="3" t="n">
        <v>9</v>
      </c>
      <c r="P140" s="6">
        <f>LOWER(TRIM(C140))</f>
        <v/>
      </c>
      <c r="Q140" s="6">
        <f>IF(I140="true",1,0)</f>
        <v/>
      </c>
      <c r="R140" s="7">
        <f>IF(K140="","",K140)</f>
        <v/>
      </c>
      <c r="S140" s="6">
        <f>IF(OR(H140="",H140&lt;8,H140&gt;72),"",J140)</f>
        <v/>
      </c>
      <c r="T140" s="6">
        <f>IF(OR(P140="lyrics",P140="instrumental"),1,IF(AND(P140="none",COUNTIFS($B$2:$B$479,B140,$P$2:$P$479,"none")&gt;=3),1,0))</f>
        <v/>
      </c>
    </row>
    <row r="141">
      <c r="A141" s="8" t="n">
        <v>48</v>
      </c>
      <c r="B141" s="9" t="inlineStr">
        <is>
          <t>Participant 4</t>
        </is>
      </c>
      <c r="C141" s="9" t="inlineStr">
        <is>
          <t>instrumental</t>
        </is>
      </c>
      <c r="D141" s="9" t="inlineStr">
        <is>
          <t>2026-10-11T17:06:33.341Z</t>
        </is>
      </c>
      <c r="E141" s="8" t="n">
        <v>3</v>
      </c>
      <c r="F141" s="9" t="inlineStr">
        <is>
          <t>9 1 2 9 3 1 5 5</t>
        </is>
      </c>
      <c r="G141" s="8" t="n">
        <v>35</v>
      </c>
      <c r="H141" s="8" t="n">
        <v>35</v>
      </c>
      <c r="I141" s="8" t="inlineStr">
        <is>
          <t>true</t>
        </is>
      </c>
      <c r="J141" s="8" t="n">
        <v>0</v>
      </c>
      <c r="K141" s="8" t="n">
        <v>1516</v>
      </c>
      <c r="L141" s="8" t="n">
        <v>8</v>
      </c>
      <c r="M141" s="10" t="n">
        <v>1.8</v>
      </c>
      <c r="N141" s="8" t="n">
        <v>1</v>
      </c>
      <c r="O141" s="8" t="n">
        <v>9</v>
      </c>
      <c r="P141" s="6">
        <f>LOWER(TRIM(C141))</f>
        <v/>
      </c>
      <c r="Q141" s="6">
        <f>IF(I141="true",1,0)</f>
        <v/>
      </c>
      <c r="R141" s="7">
        <f>IF(K141="","",K141)</f>
        <v/>
      </c>
      <c r="S141" s="6">
        <f>IF(OR(H141="",H141&lt;8,H141&gt;72),"",J141)</f>
        <v/>
      </c>
      <c r="T141" s="6">
        <f>IF(OR(P141="lyrics",P141="instrumental"),1,IF(AND(P141="none",COUNTIFS($B$2:$B$479,B141,$P$2:$P$479,"none")&gt;=3),1,0))</f>
        <v/>
      </c>
    </row>
    <row r="142">
      <c r="A142" s="3" t="n">
        <v>49</v>
      </c>
      <c r="B142" s="4" t="inlineStr">
        <is>
          <t>Participant 4</t>
        </is>
      </c>
      <c r="C142" s="4" t="inlineStr">
        <is>
          <t>lyrics</t>
        </is>
      </c>
      <c r="D142" s="4" t="inlineStr">
        <is>
          <t>2026-10-11T17:07:59.681Z</t>
        </is>
      </c>
      <c r="E142" s="3" t="n">
        <v>1</v>
      </c>
      <c r="F142" s="4" t="inlineStr">
        <is>
          <t>6 4 7 2 8 8 9 5</t>
        </is>
      </c>
      <c r="G142" s="3" t="n">
        <v>49</v>
      </c>
      <c r="H142" s="3" t="n">
        <v>49</v>
      </c>
      <c r="I142" s="3" t="inlineStr">
        <is>
          <t>true</t>
        </is>
      </c>
      <c r="J142" s="3" t="n">
        <v>0</v>
      </c>
      <c r="K142" s="3" t="n">
        <v>2681</v>
      </c>
      <c r="L142" s="3" t="n">
        <v>8</v>
      </c>
      <c r="M142" s="5" t="n">
        <v>1.8</v>
      </c>
      <c r="N142" s="3" t="n">
        <v>1</v>
      </c>
      <c r="O142" s="3" t="n">
        <v>9</v>
      </c>
      <c r="P142" s="6">
        <f>LOWER(TRIM(C142))</f>
        <v/>
      </c>
      <c r="Q142" s="6">
        <f>IF(I142="true",1,0)</f>
        <v/>
      </c>
      <c r="R142" s="7">
        <f>IF(K142="","",K142)</f>
        <v/>
      </c>
      <c r="S142" s="6">
        <f>IF(OR(H142="",H142&lt;8,H142&gt;72),"",J142)</f>
        <v/>
      </c>
      <c r="T142" s="6">
        <f>IF(OR(P142="lyrics",P142="instrumental"),1,IF(AND(P142="none",COUNTIFS($B$2:$B$479,B142,$P$2:$P$479,"none")&gt;=3),1,0))</f>
        <v/>
      </c>
    </row>
    <row r="143">
      <c r="A143" s="8" t="n">
        <v>49</v>
      </c>
      <c r="B143" s="9" t="inlineStr">
        <is>
          <t>Participant 4</t>
        </is>
      </c>
      <c r="C143" s="9" t="inlineStr">
        <is>
          <t>lyrics</t>
        </is>
      </c>
      <c r="D143" s="9" t="inlineStr">
        <is>
          <t>2026-10-11T17:07:59.681Z</t>
        </is>
      </c>
      <c r="E143" s="8" t="n">
        <v>2</v>
      </c>
      <c r="F143" s="9" t="inlineStr">
        <is>
          <t>4 5 8 8 9 2 9 4</t>
        </is>
      </c>
      <c r="G143" s="8" t="n">
        <v>49</v>
      </c>
      <c r="H143" s="8" t="n"/>
      <c r="I143" s="8" t="inlineStr">
        <is>
          <t>false</t>
        </is>
      </c>
      <c r="J143" s="8" t="n"/>
      <c r="K143" s="8" t="n"/>
      <c r="L143" s="8" t="n">
        <v>8</v>
      </c>
      <c r="M143" s="10" t="n">
        <v>1.8</v>
      </c>
      <c r="N143" s="8" t="n">
        <v>1</v>
      </c>
      <c r="O143" s="8" t="n">
        <v>9</v>
      </c>
      <c r="P143" s="6">
        <f>LOWER(TRIM(C143))</f>
        <v/>
      </c>
      <c r="Q143" s="6">
        <f>IF(I143="true",1,0)</f>
        <v/>
      </c>
      <c r="R143" s="7">
        <f>IF(K143="","",K143)</f>
        <v/>
      </c>
      <c r="S143" s="6">
        <f>IF(OR(H143="",H143&lt;8,H143&gt;72),"",J143)</f>
        <v/>
      </c>
      <c r="T143" s="6">
        <f>IF(OR(P143="lyrics",P143="instrumental"),1,IF(AND(P143="none",COUNTIFS($B$2:$B$479,B143,$P$2:$P$479,"none")&gt;=3),1,0))</f>
        <v/>
      </c>
    </row>
    <row r="144">
      <c r="A144" s="3" t="n">
        <v>49</v>
      </c>
      <c r="B144" s="4" t="inlineStr">
        <is>
          <t>Participant 4</t>
        </is>
      </c>
      <c r="C144" s="4" t="inlineStr">
        <is>
          <t>lyrics</t>
        </is>
      </c>
      <c r="D144" s="4" t="inlineStr">
        <is>
          <t>2026-10-11T17:07:59.681Z</t>
        </is>
      </c>
      <c r="E144" s="3" t="n">
        <v>3</v>
      </c>
      <c r="F144" s="4" t="inlineStr">
        <is>
          <t>3 1 9 8 8 6 5 4</t>
        </is>
      </c>
      <c r="G144" s="3" t="n">
        <v>44</v>
      </c>
      <c r="H144" s="3" t="n">
        <v>46</v>
      </c>
      <c r="I144" s="3" t="inlineStr">
        <is>
          <t>false</t>
        </is>
      </c>
      <c r="J144" s="3" t="n">
        <v>2</v>
      </c>
      <c r="K144" s="3" t="n">
        <v>4975</v>
      </c>
      <c r="L144" s="3" t="n">
        <v>8</v>
      </c>
      <c r="M144" s="5" t="n">
        <v>1.8</v>
      </c>
      <c r="N144" s="3" t="n">
        <v>1</v>
      </c>
      <c r="O144" s="3" t="n">
        <v>9</v>
      </c>
      <c r="P144" s="6">
        <f>LOWER(TRIM(C144))</f>
        <v/>
      </c>
      <c r="Q144" s="6">
        <f>IF(I144="true",1,0)</f>
        <v/>
      </c>
      <c r="R144" s="7">
        <f>IF(K144="","",K144)</f>
        <v/>
      </c>
      <c r="S144" s="6">
        <f>IF(OR(H144="",H144&lt;8,H144&gt;72),"",J144)</f>
        <v/>
      </c>
      <c r="T144" s="6">
        <f>IF(OR(P144="lyrics",P144="instrumental"),1,IF(AND(P144="none",COUNTIFS($B$2:$B$479,B144,$P$2:$P$479,"none")&gt;=3),1,0))</f>
        <v/>
      </c>
    </row>
    <row r="145">
      <c r="A145" s="8" t="n">
        <v>50</v>
      </c>
      <c r="B145" s="9" t="inlineStr">
        <is>
          <t>Participant 4</t>
        </is>
      </c>
      <c r="C145" s="9" t="inlineStr">
        <is>
          <t>lyrics</t>
        </is>
      </c>
      <c r="D145" s="9" t="inlineStr">
        <is>
          <t>2026-10-11T17:09:33.616Z</t>
        </is>
      </c>
      <c r="E145" s="8" t="n">
        <v>1</v>
      </c>
      <c r="F145" s="9" t="inlineStr">
        <is>
          <t>3 1 2 4 5 9 6 1</t>
        </is>
      </c>
      <c r="G145" s="8" t="n">
        <v>31</v>
      </c>
      <c r="H145" s="8" t="n">
        <v>31</v>
      </c>
      <c r="I145" s="8" t="inlineStr">
        <is>
          <t>true</t>
        </is>
      </c>
      <c r="J145" s="8" t="n">
        <v>0</v>
      </c>
      <c r="K145" s="8" t="n">
        <v>1320</v>
      </c>
      <c r="L145" s="8" t="n">
        <v>8</v>
      </c>
      <c r="M145" s="10" t="n">
        <v>1.8</v>
      </c>
      <c r="N145" s="8" t="n">
        <v>1</v>
      </c>
      <c r="O145" s="8" t="n">
        <v>9</v>
      </c>
      <c r="P145" s="6">
        <f>LOWER(TRIM(C145))</f>
        <v/>
      </c>
      <c r="Q145" s="6">
        <f>IF(I145="true",1,0)</f>
        <v/>
      </c>
      <c r="R145" s="7">
        <f>IF(K145="","",K145)</f>
        <v/>
      </c>
      <c r="S145" s="6">
        <f>IF(OR(H145="",H145&lt;8,H145&gt;72),"",J145)</f>
        <v/>
      </c>
      <c r="T145" s="6">
        <f>IF(OR(P145="lyrics",P145="instrumental"),1,IF(AND(P145="none",COUNTIFS($B$2:$B$479,B145,$P$2:$P$479,"none")&gt;=3),1,0))</f>
        <v/>
      </c>
    </row>
    <row r="146">
      <c r="A146" s="3" t="n">
        <v>50</v>
      </c>
      <c r="B146" s="4" t="inlineStr">
        <is>
          <t>Participant 4</t>
        </is>
      </c>
      <c r="C146" s="4" t="inlineStr">
        <is>
          <t>lyrics</t>
        </is>
      </c>
      <c r="D146" s="4" t="inlineStr">
        <is>
          <t>2026-10-11T17:09:33.616Z</t>
        </is>
      </c>
      <c r="E146" s="3" t="n">
        <v>2</v>
      </c>
      <c r="F146" s="4" t="inlineStr">
        <is>
          <t>9 3 4 5 8 1 3 9</t>
        </is>
      </c>
      <c r="G146" s="3" t="n">
        <v>42</v>
      </c>
      <c r="H146" s="3" t="n">
        <v>42</v>
      </c>
      <c r="I146" s="3" t="inlineStr">
        <is>
          <t>true</t>
        </is>
      </c>
      <c r="J146" s="3" t="n">
        <v>0</v>
      </c>
      <c r="K146" s="3" t="n">
        <v>3824</v>
      </c>
      <c r="L146" s="3" t="n">
        <v>8</v>
      </c>
      <c r="M146" s="5" t="n">
        <v>1.8</v>
      </c>
      <c r="N146" s="3" t="n">
        <v>1</v>
      </c>
      <c r="O146" s="3" t="n">
        <v>9</v>
      </c>
      <c r="P146" s="6">
        <f>LOWER(TRIM(C146))</f>
        <v/>
      </c>
      <c r="Q146" s="6">
        <f>IF(I146="true",1,0)</f>
        <v/>
      </c>
      <c r="R146" s="7">
        <f>IF(K146="","",K146)</f>
        <v/>
      </c>
      <c r="S146" s="6">
        <f>IF(OR(H146="",H146&lt;8,H146&gt;72),"",J146)</f>
        <v/>
      </c>
      <c r="T146" s="6">
        <f>IF(OR(P146="lyrics",P146="instrumental"),1,IF(AND(P146="none",COUNTIFS($B$2:$B$479,B146,$P$2:$P$479,"none")&gt;=3),1,0))</f>
        <v/>
      </c>
    </row>
    <row r="147">
      <c r="A147" s="8" t="n">
        <v>50</v>
      </c>
      <c r="B147" s="9" t="inlineStr">
        <is>
          <t>Participant 4</t>
        </is>
      </c>
      <c r="C147" s="9" t="inlineStr">
        <is>
          <t>lyrics</t>
        </is>
      </c>
      <c r="D147" s="9" t="inlineStr">
        <is>
          <t>2026-10-11T17:09:33.616Z</t>
        </is>
      </c>
      <c r="E147" s="8" t="n">
        <v>3</v>
      </c>
      <c r="F147" s="9" t="inlineStr">
        <is>
          <t>6 8 7 2 7 6 2 6</t>
        </is>
      </c>
      <c r="G147" s="8" t="n">
        <v>44</v>
      </c>
      <c r="H147" s="8" t="n">
        <v>45</v>
      </c>
      <c r="I147" s="8" t="inlineStr">
        <is>
          <t>false</t>
        </is>
      </c>
      <c r="J147" s="8" t="n">
        <v>1</v>
      </c>
      <c r="K147" s="8" t="n">
        <v>1618</v>
      </c>
      <c r="L147" s="8" t="n">
        <v>8</v>
      </c>
      <c r="M147" s="10" t="n">
        <v>1.8</v>
      </c>
      <c r="N147" s="8" t="n">
        <v>1</v>
      </c>
      <c r="O147" s="8" t="n">
        <v>9</v>
      </c>
      <c r="P147" s="6">
        <f>LOWER(TRIM(C147))</f>
        <v/>
      </c>
      <c r="Q147" s="6">
        <f>IF(I147="true",1,0)</f>
        <v/>
      </c>
      <c r="R147" s="7">
        <f>IF(K147="","",K147)</f>
        <v/>
      </c>
      <c r="S147" s="6">
        <f>IF(OR(H147="",H147&lt;8,H147&gt;72),"",J147)</f>
        <v/>
      </c>
      <c r="T147" s="6">
        <f>IF(OR(P147="lyrics",P147="instrumental"),1,IF(AND(P147="none",COUNTIFS($B$2:$B$479,B147,$P$2:$P$479,"none")&gt;=3),1,0))</f>
        <v/>
      </c>
    </row>
    <row r="148">
      <c r="A148" s="3" t="n">
        <v>51</v>
      </c>
      <c r="B148" s="4" t="inlineStr">
        <is>
          <t>Participant 4</t>
        </is>
      </c>
      <c r="C148" s="4" t="inlineStr">
        <is>
          <t>instrumental</t>
        </is>
      </c>
      <c r="D148" s="4" t="inlineStr">
        <is>
          <t>2026-10-11T17:11:12.295Z</t>
        </is>
      </c>
      <c r="E148" s="3" t="n">
        <v>1</v>
      </c>
      <c r="F148" s="4" t="inlineStr">
        <is>
          <t>6 7 6 6 6 4 8 1</t>
        </is>
      </c>
      <c r="G148" s="3" t="n">
        <v>44</v>
      </c>
      <c r="H148" s="3" t="n">
        <v>44</v>
      </c>
      <c r="I148" s="3" t="inlineStr">
        <is>
          <t>true</t>
        </is>
      </c>
      <c r="J148" s="3" t="n">
        <v>0</v>
      </c>
      <c r="K148" s="3" t="n">
        <v>3831</v>
      </c>
      <c r="L148" s="3" t="n">
        <v>8</v>
      </c>
      <c r="M148" s="5" t="n">
        <v>1.8</v>
      </c>
      <c r="N148" s="3" t="n">
        <v>1</v>
      </c>
      <c r="O148" s="3" t="n">
        <v>9</v>
      </c>
      <c r="P148" s="6">
        <f>LOWER(TRIM(C148))</f>
        <v/>
      </c>
      <c r="Q148" s="6">
        <f>IF(I148="true",1,0)</f>
        <v/>
      </c>
      <c r="R148" s="7">
        <f>IF(K148="","",K148)</f>
        <v/>
      </c>
      <c r="S148" s="6">
        <f>IF(OR(H148="",H148&lt;8,H148&gt;72),"",J148)</f>
        <v/>
      </c>
      <c r="T148" s="6">
        <f>IF(OR(P148="lyrics",P148="instrumental"),1,IF(AND(P148="none",COUNTIFS($B$2:$B$479,B148,$P$2:$P$479,"none")&gt;=3),1,0))</f>
        <v/>
      </c>
    </row>
    <row r="149">
      <c r="A149" s="8" t="n">
        <v>51</v>
      </c>
      <c r="B149" s="9" t="inlineStr">
        <is>
          <t>Participant 4</t>
        </is>
      </c>
      <c r="C149" s="9" t="inlineStr">
        <is>
          <t>instrumental</t>
        </is>
      </c>
      <c r="D149" s="9" t="inlineStr">
        <is>
          <t>2026-10-11T17:11:12.295Z</t>
        </is>
      </c>
      <c r="E149" s="8" t="n">
        <v>2</v>
      </c>
      <c r="F149" s="9" t="inlineStr">
        <is>
          <t>4 1 8 5 8 8 1 8</t>
        </is>
      </c>
      <c r="G149" s="8" t="n">
        <v>43</v>
      </c>
      <c r="H149" s="8" t="n">
        <v>48</v>
      </c>
      <c r="I149" s="8" t="inlineStr">
        <is>
          <t>false</t>
        </is>
      </c>
      <c r="J149" s="8" t="n">
        <v>5</v>
      </c>
      <c r="K149" s="8" t="n">
        <v>5758</v>
      </c>
      <c r="L149" s="8" t="n">
        <v>8</v>
      </c>
      <c r="M149" s="10" t="n">
        <v>1.8</v>
      </c>
      <c r="N149" s="8" t="n">
        <v>1</v>
      </c>
      <c r="O149" s="8" t="n">
        <v>9</v>
      </c>
      <c r="P149" s="6">
        <f>LOWER(TRIM(C149))</f>
        <v/>
      </c>
      <c r="Q149" s="6">
        <f>IF(I149="true",1,0)</f>
        <v/>
      </c>
      <c r="R149" s="7">
        <f>IF(K149="","",K149)</f>
        <v/>
      </c>
      <c r="S149" s="6">
        <f>IF(OR(H149="",H149&lt;8,H149&gt;72),"",J149)</f>
        <v/>
      </c>
      <c r="T149" s="6">
        <f>IF(OR(P149="lyrics",P149="instrumental"),1,IF(AND(P149="none",COUNTIFS($B$2:$B$479,B149,$P$2:$P$479,"none")&gt;=3),1,0))</f>
        <v/>
      </c>
    </row>
    <row r="150">
      <c r="A150" s="3" t="n">
        <v>51</v>
      </c>
      <c r="B150" s="4" t="inlineStr">
        <is>
          <t>Participant 4</t>
        </is>
      </c>
      <c r="C150" s="4" t="inlineStr">
        <is>
          <t>instrumental</t>
        </is>
      </c>
      <c r="D150" s="4" t="inlineStr">
        <is>
          <t>2026-10-11T17:11:12.295Z</t>
        </is>
      </c>
      <c r="E150" s="3" t="n">
        <v>3</v>
      </c>
      <c r="F150" s="4" t="inlineStr">
        <is>
          <t>9 6 3 1 1 3 4 5</t>
        </is>
      </c>
      <c r="G150" s="3" t="n">
        <v>32</v>
      </c>
      <c r="H150" s="3" t="n">
        <v>32</v>
      </c>
      <c r="I150" s="3" t="inlineStr">
        <is>
          <t>true</t>
        </is>
      </c>
      <c r="J150" s="3" t="n">
        <v>0</v>
      </c>
      <c r="K150" s="3" t="n">
        <v>1685</v>
      </c>
      <c r="L150" s="3" t="n">
        <v>8</v>
      </c>
      <c r="M150" s="5" t="n">
        <v>1.8</v>
      </c>
      <c r="N150" s="3" t="n">
        <v>1</v>
      </c>
      <c r="O150" s="3" t="n">
        <v>9</v>
      </c>
      <c r="P150" s="6">
        <f>LOWER(TRIM(C150))</f>
        <v/>
      </c>
      <c r="Q150" s="6">
        <f>IF(I150="true",1,0)</f>
        <v/>
      </c>
      <c r="R150" s="7">
        <f>IF(K150="","",K150)</f>
        <v/>
      </c>
      <c r="S150" s="6">
        <f>IF(OR(H150="",H150&lt;8,H150&gt;72),"",J150)</f>
        <v/>
      </c>
      <c r="T150" s="6">
        <f>IF(OR(P150="lyrics",P150="instrumental"),1,IF(AND(P150="none",COUNTIFS($B$2:$B$479,B150,$P$2:$P$479,"none")&gt;=3),1,0))</f>
        <v/>
      </c>
    </row>
    <row r="151">
      <c r="A151" s="8" t="n">
        <v>52</v>
      </c>
      <c r="B151" s="9" t="inlineStr">
        <is>
          <t>Participant 4</t>
        </is>
      </c>
      <c r="C151" s="9" t="inlineStr">
        <is>
          <t>instrumental</t>
        </is>
      </c>
      <c r="D151" s="9" t="inlineStr">
        <is>
          <t>2026-10-11T17:12:39.073Z</t>
        </is>
      </c>
      <c r="E151" s="8" t="n">
        <v>1</v>
      </c>
      <c r="F151" s="9" t="inlineStr">
        <is>
          <t>1 5 5 6 4 4 6 8</t>
        </is>
      </c>
      <c r="G151" s="8" t="n">
        <v>39</v>
      </c>
      <c r="H151" s="8" t="n">
        <v>39</v>
      </c>
      <c r="I151" s="8" t="inlineStr">
        <is>
          <t>true</t>
        </is>
      </c>
      <c r="J151" s="8" t="n">
        <v>0</v>
      </c>
      <c r="K151" s="8" t="n">
        <v>1882</v>
      </c>
      <c r="L151" s="8" t="n">
        <v>8</v>
      </c>
      <c r="M151" s="10" t="n">
        <v>1.8</v>
      </c>
      <c r="N151" s="8" t="n">
        <v>1</v>
      </c>
      <c r="O151" s="8" t="n">
        <v>9</v>
      </c>
      <c r="P151" s="6">
        <f>LOWER(TRIM(C151))</f>
        <v/>
      </c>
      <c r="Q151" s="6">
        <f>IF(I151="true",1,0)</f>
        <v/>
      </c>
      <c r="R151" s="7">
        <f>IF(K151="","",K151)</f>
        <v/>
      </c>
      <c r="S151" s="6">
        <f>IF(OR(H151="",H151&lt;8,H151&gt;72),"",J151)</f>
        <v/>
      </c>
      <c r="T151" s="6">
        <f>IF(OR(P151="lyrics",P151="instrumental"),1,IF(AND(P151="none",COUNTIFS($B$2:$B$479,B151,$P$2:$P$479,"none")&gt;=3),1,0))</f>
        <v/>
      </c>
    </row>
    <row r="152">
      <c r="A152" s="3" t="n">
        <v>52</v>
      </c>
      <c r="B152" s="4" t="inlineStr">
        <is>
          <t>Participant 4</t>
        </is>
      </c>
      <c r="C152" s="4" t="inlineStr">
        <is>
          <t>instrumental</t>
        </is>
      </c>
      <c r="D152" s="4" t="inlineStr">
        <is>
          <t>2026-10-11T17:12:39.073Z</t>
        </is>
      </c>
      <c r="E152" s="3" t="n">
        <v>2</v>
      </c>
      <c r="F152" s="4" t="inlineStr">
        <is>
          <t>8 8 8 2 9 7 7 3</t>
        </is>
      </c>
      <c r="G152" s="3" t="n">
        <v>52</v>
      </c>
      <c r="H152" s="3" t="n">
        <v>48</v>
      </c>
      <c r="I152" s="3" t="inlineStr">
        <is>
          <t>false</t>
        </is>
      </c>
      <c r="J152" s="3" t="n">
        <v>4</v>
      </c>
      <c r="K152" s="3" t="n">
        <v>7689</v>
      </c>
      <c r="L152" s="3" t="n">
        <v>8</v>
      </c>
      <c r="M152" s="5" t="n">
        <v>1.8</v>
      </c>
      <c r="N152" s="3" t="n">
        <v>1</v>
      </c>
      <c r="O152" s="3" t="n">
        <v>9</v>
      </c>
      <c r="P152" s="6">
        <f>LOWER(TRIM(C152))</f>
        <v/>
      </c>
      <c r="Q152" s="6">
        <f>IF(I152="true",1,0)</f>
        <v/>
      </c>
      <c r="R152" s="7">
        <f>IF(K152="","",K152)</f>
        <v/>
      </c>
      <c r="S152" s="6">
        <f>IF(OR(H152="",H152&lt;8,H152&gt;72),"",J152)</f>
        <v/>
      </c>
      <c r="T152" s="6">
        <f>IF(OR(P152="lyrics",P152="instrumental"),1,IF(AND(P152="none",COUNTIFS($B$2:$B$479,B152,$P$2:$P$479,"none")&gt;=3),1,0))</f>
        <v/>
      </c>
    </row>
    <row r="153">
      <c r="A153" s="8" t="n">
        <v>52</v>
      </c>
      <c r="B153" s="9" t="inlineStr">
        <is>
          <t>Participant 4</t>
        </is>
      </c>
      <c r="C153" s="9" t="inlineStr">
        <is>
          <t>instrumental</t>
        </is>
      </c>
      <c r="D153" s="9" t="inlineStr">
        <is>
          <t>2026-10-11T17:12:39.073Z</t>
        </is>
      </c>
      <c r="E153" s="8" t="n">
        <v>3</v>
      </c>
      <c r="F153" s="9" t="inlineStr">
        <is>
          <t>9 8 1 4 2 3 5 2</t>
        </is>
      </c>
      <c r="G153" s="8" t="n">
        <v>34</v>
      </c>
      <c r="H153" s="8" t="n">
        <v>34</v>
      </c>
      <c r="I153" s="8" t="inlineStr">
        <is>
          <t>true</t>
        </is>
      </c>
      <c r="J153" s="8" t="n">
        <v>0</v>
      </c>
      <c r="K153" s="8" t="n">
        <v>2934</v>
      </c>
      <c r="L153" s="8" t="n">
        <v>8</v>
      </c>
      <c r="M153" s="10" t="n">
        <v>1.8</v>
      </c>
      <c r="N153" s="8" t="n">
        <v>1</v>
      </c>
      <c r="O153" s="8" t="n">
        <v>9</v>
      </c>
      <c r="P153" s="6">
        <f>LOWER(TRIM(C153))</f>
        <v/>
      </c>
      <c r="Q153" s="6">
        <f>IF(I153="true",1,0)</f>
        <v/>
      </c>
      <c r="R153" s="7">
        <f>IF(K153="","",K153)</f>
        <v/>
      </c>
      <c r="S153" s="6">
        <f>IF(OR(H153="",H153&lt;8,H153&gt;72),"",J153)</f>
        <v/>
      </c>
      <c r="T153" s="6">
        <f>IF(OR(P153="lyrics",P153="instrumental"),1,IF(AND(P153="none",COUNTIFS($B$2:$B$479,B153,$P$2:$P$479,"none")&gt;=3),1,0))</f>
        <v/>
      </c>
    </row>
    <row r="154">
      <c r="A154" s="3" t="n">
        <v>53</v>
      </c>
      <c r="B154" s="4" t="inlineStr">
        <is>
          <t>Participant 4</t>
        </is>
      </c>
      <c r="C154" s="4" t="inlineStr">
        <is>
          <t>lyrics</t>
        </is>
      </c>
      <c r="D154" s="4" t="inlineStr">
        <is>
          <t>2026-10-11T17:13:48.422Z</t>
        </is>
      </c>
      <c r="E154" s="3" t="n">
        <v>1</v>
      </c>
      <c r="F154" s="4" t="inlineStr">
        <is>
          <t>8 8 1 7 7 1 8 8</t>
        </is>
      </c>
      <c r="G154" s="3" t="n">
        <v>48</v>
      </c>
      <c r="H154" s="3" t="n">
        <v>48</v>
      </c>
      <c r="I154" s="3" t="inlineStr">
        <is>
          <t>true</t>
        </is>
      </c>
      <c r="J154" s="3" t="n">
        <v>0</v>
      </c>
      <c r="K154" s="3" t="n">
        <v>1617</v>
      </c>
      <c r="L154" s="3" t="n">
        <v>8</v>
      </c>
      <c r="M154" s="5" t="n">
        <v>1.8</v>
      </c>
      <c r="N154" s="3" t="n">
        <v>1</v>
      </c>
      <c r="O154" s="3" t="n">
        <v>9</v>
      </c>
      <c r="P154" s="6">
        <f>LOWER(TRIM(C154))</f>
        <v/>
      </c>
      <c r="Q154" s="6">
        <f>IF(I154="true",1,0)</f>
        <v/>
      </c>
      <c r="R154" s="7">
        <f>IF(K154="","",K154)</f>
        <v/>
      </c>
      <c r="S154" s="6">
        <f>IF(OR(H154="",H154&lt;8,H154&gt;72),"",J154)</f>
        <v/>
      </c>
      <c r="T154" s="6">
        <f>IF(OR(P154="lyrics",P154="instrumental"),1,IF(AND(P154="none",COUNTIFS($B$2:$B$479,B154,$P$2:$P$479,"none")&gt;=3),1,0))</f>
        <v/>
      </c>
    </row>
    <row r="155">
      <c r="A155" s="8" t="n">
        <v>53</v>
      </c>
      <c r="B155" s="9" t="inlineStr">
        <is>
          <t>Participant 4</t>
        </is>
      </c>
      <c r="C155" s="9" t="inlineStr">
        <is>
          <t>lyrics</t>
        </is>
      </c>
      <c r="D155" s="9" t="inlineStr">
        <is>
          <t>2026-10-11T17:13:48.422Z</t>
        </is>
      </c>
      <c r="E155" s="8" t="n">
        <v>2</v>
      </c>
      <c r="F155" s="9" t="inlineStr">
        <is>
          <t>1 3 2 9 7 8 3 3</t>
        </is>
      </c>
      <c r="G155" s="8" t="n">
        <v>36</v>
      </c>
      <c r="H155" s="8" t="n">
        <v>36</v>
      </c>
      <c r="I155" s="8" t="inlineStr">
        <is>
          <t>true</t>
        </is>
      </c>
      <c r="J155" s="8" t="n">
        <v>0</v>
      </c>
      <c r="K155" s="8" t="n">
        <v>2056</v>
      </c>
      <c r="L155" s="8" t="n">
        <v>8</v>
      </c>
      <c r="M155" s="10" t="n">
        <v>1.8</v>
      </c>
      <c r="N155" s="8" t="n">
        <v>1</v>
      </c>
      <c r="O155" s="8" t="n">
        <v>9</v>
      </c>
      <c r="P155" s="6">
        <f>LOWER(TRIM(C155))</f>
        <v/>
      </c>
      <c r="Q155" s="6">
        <f>IF(I155="true",1,0)</f>
        <v/>
      </c>
      <c r="R155" s="7">
        <f>IF(K155="","",K155)</f>
        <v/>
      </c>
      <c r="S155" s="6">
        <f>IF(OR(H155="",H155&lt;8,H155&gt;72),"",J155)</f>
        <v/>
      </c>
      <c r="T155" s="6">
        <f>IF(OR(P155="lyrics",P155="instrumental"),1,IF(AND(P155="none",COUNTIFS($B$2:$B$479,B155,$P$2:$P$479,"none")&gt;=3),1,0))</f>
        <v/>
      </c>
    </row>
    <row r="156">
      <c r="A156" s="3" t="n">
        <v>53</v>
      </c>
      <c r="B156" s="4" t="inlineStr">
        <is>
          <t>Participant 4</t>
        </is>
      </c>
      <c r="C156" s="4" t="inlineStr">
        <is>
          <t>lyrics</t>
        </is>
      </c>
      <c r="D156" s="4" t="inlineStr">
        <is>
          <t>2026-10-11T17:13:48.422Z</t>
        </is>
      </c>
      <c r="E156" s="3" t="n">
        <v>3</v>
      </c>
      <c r="F156" s="4" t="inlineStr">
        <is>
          <t>4 9 8 1 6 3 2 2</t>
        </is>
      </c>
      <c r="G156" s="3" t="n">
        <v>35</v>
      </c>
      <c r="H156" s="3" t="n">
        <v>32</v>
      </c>
      <c r="I156" s="3" t="inlineStr">
        <is>
          <t>false</t>
        </is>
      </c>
      <c r="J156" s="3" t="n">
        <v>3</v>
      </c>
      <c r="K156" s="3" t="n">
        <v>2608</v>
      </c>
      <c r="L156" s="3" t="n">
        <v>8</v>
      </c>
      <c r="M156" s="5" t="n">
        <v>1.8</v>
      </c>
      <c r="N156" s="3" t="n">
        <v>1</v>
      </c>
      <c r="O156" s="3" t="n">
        <v>9</v>
      </c>
      <c r="P156" s="6">
        <f>LOWER(TRIM(C156))</f>
        <v/>
      </c>
      <c r="Q156" s="6">
        <f>IF(I156="true",1,0)</f>
        <v/>
      </c>
      <c r="R156" s="7">
        <f>IF(K156="","",K156)</f>
        <v/>
      </c>
      <c r="S156" s="6">
        <f>IF(OR(H156="",H156&lt;8,H156&gt;72),"",J156)</f>
        <v/>
      </c>
      <c r="T156" s="6">
        <f>IF(OR(P156="lyrics",P156="instrumental"),1,IF(AND(P156="none",COUNTIFS($B$2:$B$479,B156,$P$2:$P$479,"none")&gt;=3),1,0))</f>
        <v/>
      </c>
    </row>
    <row r="157">
      <c r="A157" s="8" t="n">
        <v>54</v>
      </c>
      <c r="B157" s="9" t="inlineStr">
        <is>
          <t>Participant 5</t>
        </is>
      </c>
      <c r="C157" s="9" t="inlineStr">
        <is>
          <t>none</t>
        </is>
      </c>
      <c r="D157" s="9" t="inlineStr">
        <is>
          <t>2026-10-11T19:07:42.938Z</t>
        </is>
      </c>
      <c r="E157" s="8" t="n">
        <v>1</v>
      </c>
      <c r="F157" s="9" t="inlineStr">
        <is>
          <t>9 2 7 7 6 7 6 6</t>
        </is>
      </c>
      <c r="G157" s="8" t="n">
        <v>50</v>
      </c>
      <c r="H157" s="8" t="n">
        <v>240</v>
      </c>
      <c r="I157" s="8" t="inlineStr">
        <is>
          <t>false</t>
        </is>
      </c>
      <c r="J157" s="8" t="n">
        <v>190</v>
      </c>
      <c r="K157" s="8" t="n"/>
      <c r="L157" s="8" t="n">
        <v>8</v>
      </c>
      <c r="M157" s="10" t="n">
        <v>1.8</v>
      </c>
      <c r="N157" s="8" t="n">
        <v>1</v>
      </c>
      <c r="O157" s="8" t="n">
        <v>9</v>
      </c>
      <c r="P157" s="6">
        <f>LOWER(TRIM(C157))</f>
        <v/>
      </c>
      <c r="Q157" s="6">
        <f>IF(I157="true",1,0)</f>
        <v/>
      </c>
      <c r="R157" s="7">
        <f>IF(K157="","",K157)</f>
        <v/>
      </c>
      <c r="S157" s="6">
        <f>IF(OR(H157="",H157&lt;8,H157&gt;72),"",J157)</f>
        <v/>
      </c>
      <c r="T157" s="6">
        <f>IF(OR(P157="lyrics",P157="instrumental"),1,IF(AND(P157="none",COUNTIFS($B$2:$B$479,B157,$P$2:$P$479,"none")&gt;=3),1,0))</f>
        <v/>
      </c>
    </row>
    <row r="158">
      <c r="A158" s="3" t="n">
        <v>54</v>
      </c>
      <c r="B158" s="4" t="inlineStr">
        <is>
          <t>Participant 5</t>
        </is>
      </c>
      <c r="C158" s="4" t="inlineStr">
        <is>
          <t>none</t>
        </is>
      </c>
      <c r="D158" s="4" t="inlineStr">
        <is>
          <t>2026-10-11T19:07:42.938Z</t>
        </is>
      </c>
      <c r="E158" s="3" t="n">
        <v>2</v>
      </c>
      <c r="F158" s="4" t="inlineStr">
        <is>
          <t>1 8 7 6 3 2 4 1</t>
        </is>
      </c>
      <c r="G158" s="3" t="n">
        <v>32</v>
      </c>
      <c r="H158" s="3" t="n">
        <v>60</v>
      </c>
      <c r="I158" s="3" t="inlineStr">
        <is>
          <t>false</t>
        </is>
      </c>
      <c r="J158" s="3" t="n">
        <v>28</v>
      </c>
      <c r="K158" s="3" t="n">
        <v>6929</v>
      </c>
      <c r="L158" s="3" t="n">
        <v>8</v>
      </c>
      <c r="M158" s="5" t="n">
        <v>1.8</v>
      </c>
      <c r="N158" s="3" t="n">
        <v>1</v>
      </c>
      <c r="O158" s="3" t="n">
        <v>9</v>
      </c>
      <c r="P158" s="6">
        <f>LOWER(TRIM(C158))</f>
        <v/>
      </c>
      <c r="Q158" s="6">
        <f>IF(I158="true",1,0)</f>
        <v/>
      </c>
      <c r="R158" s="7">
        <f>IF(K158="","",K158)</f>
        <v/>
      </c>
      <c r="S158" s="6">
        <f>IF(OR(H158="",H158&lt;8,H158&gt;72),"",J158)</f>
        <v/>
      </c>
      <c r="T158" s="6">
        <f>IF(OR(P158="lyrics",P158="instrumental"),1,IF(AND(P158="none",COUNTIFS($B$2:$B$479,B158,$P$2:$P$479,"none")&gt;=3),1,0))</f>
        <v/>
      </c>
    </row>
    <row r="159">
      <c r="A159" s="8" t="n">
        <v>55</v>
      </c>
      <c r="B159" s="9" t="inlineStr">
        <is>
          <t>Participant 5</t>
        </is>
      </c>
      <c r="C159" s="9" t="inlineStr">
        <is>
          <t>lyrics</t>
        </is>
      </c>
      <c r="D159" s="9" t="inlineStr">
        <is>
          <t>2026-10-11T19:10:00.734Z</t>
        </is>
      </c>
      <c r="E159" s="8" t="n">
        <v>1</v>
      </c>
      <c r="F159" s="9" t="inlineStr">
        <is>
          <t>1 6 4 3 9 7 4 9</t>
        </is>
      </c>
      <c r="G159" s="8" t="n">
        <v>43</v>
      </c>
      <c r="H159" s="8" t="n">
        <v>51</v>
      </c>
      <c r="I159" s="8" t="inlineStr">
        <is>
          <t>false</t>
        </is>
      </c>
      <c r="J159" s="8" t="n">
        <v>8</v>
      </c>
      <c r="K159" s="8" t="n">
        <v>4197</v>
      </c>
      <c r="L159" s="8" t="n">
        <v>8</v>
      </c>
      <c r="M159" s="10" t="n">
        <v>1.8</v>
      </c>
      <c r="N159" s="8" t="n">
        <v>1</v>
      </c>
      <c r="O159" s="8" t="n">
        <v>9</v>
      </c>
      <c r="P159" s="6">
        <f>LOWER(TRIM(C159))</f>
        <v/>
      </c>
      <c r="Q159" s="6">
        <f>IF(I159="true",1,0)</f>
        <v/>
      </c>
      <c r="R159" s="7">
        <f>IF(K159="","",K159)</f>
        <v/>
      </c>
      <c r="S159" s="6">
        <f>IF(OR(H159="",H159&lt;8,H159&gt;72),"",J159)</f>
        <v/>
      </c>
      <c r="T159" s="6">
        <f>IF(OR(P159="lyrics",P159="instrumental"),1,IF(AND(P159="none",COUNTIFS($B$2:$B$479,B159,$P$2:$P$479,"none")&gt;=3),1,0))</f>
        <v/>
      </c>
    </row>
    <row r="160">
      <c r="A160" s="3" t="n">
        <v>55</v>
      </c>
      <c r="B160" s="4" t="inlineStr">
        <is>
          <t>Participant 5</t>
        </is>
      </c>
      <c r="C160" s="4" t="inlineStr">
        <is>
          <t>lyrics</t>
        </is>
      </c>
      <c r="D160" s="4" t="inlineStr">
        <is>
          <t>2026-10-11T19:10:00.734Z</t>
        </is>
      </c>
      <c r="E160" s="3" t="n">
        <v>2</v>
      </c>
      <c r="F160" s="4" t="inlineStr">
        <is>
          <t>6 8 7 9 6 2 8 1</t>
        </is>
      </c>
      <c r="G160" s="3" t="n">
        <v>47</v>
      </c>
      <c r="H160" s="3" t="n">
        <v>70</v>
      </c>
      <c r="I160" s="3" t="inlineStr">
        <is>
          <t>false</t>
        </is>
      </c>
      <c r="J160" s="3" t="n">
        <v>23</v>
      </c>
      <c r="K160" s="3" t="n">
        <v>3551</v>
      </c>
      <c r="L160" s="3" t="n">
        <v>8</v>
      </c>
      <c r="M160" s="5" t="n">
        <v>1.8</v>
      </c>
      <c r="N160" s="3" t="n">
        <v>1</v>
      </c>
      <c r="O160" s="3" t="n">
        <v>9</v>
      </c>
      <c r="P160" s="6">
        <f>LOWER(TRIM(C160))</f>
        <v/>
      </c>
      <c r="Q160" s="6">
        <f>IF(I160="true",1,0)</f>
        <v/>
      </c>
      <c r="R160" s="7">
        <f>IF(K160="","",K160)</f>
        <v/>
      </c>
      <c r="S160" s="6">
        <f>IF(OR(H160="",H160&lt;8,H160&gt;72),"",J160)</f>
        <v/>
      </c>
      <c r="T160" s="6">
        <f>IF(OR(P160="lyrics",P160="instrumental"),1,IF(AND(P160="none",COUNTIFS($B$2:$B$479,B160,$P$2:$P$479,"none")&gt;=3),1,0))</f>
        <v/>
      </c>
    </row>
    <row r="161">
      <c r="A161" s="8" t="n">
        <v>55</v>
      </c>
      <c r="B161" s="9" t="inlineStr">
        <is>
          <t>Participant 5</t>
        </is>
      </c>
      <c r="C161" s="9" t="inlineStr">
        <is>
          <t>lyrics</t>
        </is>
      </c>
      <c r="D161" s="9" t="inlineStr">
        <is>
          <t>2026-10-11T19:10:00.734Z</t>
        </is>
      </c>
      <c r="E161" s="8" t="n">
        <v>3</v>
      </c>
      <c r="F161" s="9" t="inlineStr">
        <is>
          <t>1 3 1 1 8 9 9 1</t>
        </is>
      </c>
      <c r="G161" s="8" t="n">
        <v>33</v>
      </c>
      <c r="H161" s="8" t="n">
        <v>25</v>
      </c>
      <c r="I161" s="8" t="inlineStr">
        <is>
          <t>false</t>
        </is>
      </c>
      <c r="J161" s="8" t="n">
        <v>8</v>
      </c>
      <c r="K161" s="8" t="n"/>
      <c r="L161" s="8" t="n">
        <v>8</v>
      </c>
      <c r="M161" s="10" t="n">
        <v>1.8</v>
      </c>
      <c r="N161" s="8" t="n">
        <v>1</v>
      </c>
      <c r="O161" s="8" t="n">
        <v>9</v>
      </c>
      <c r="P161" s="6">
        <f>LOWER(TRIM(C161))</f>
        <v/>
      </c>
      <c r="Q161" s="6">
        <f>IF(I161="true",1,0)</f>
        <v/>
      </c>
      <c r="R161" s="7">
        <f>IF(K161="","",K161)</f>
        <v/>
      </c>
      <c r="S161" s="6">
        <f>IF(OR(H161="",H161&lt;8,H161&gt;72),"",J161)</f>
        <v/>
      </c>
      <c r="T161" s="6">
        <f>IF(OR(P161="lyrics",P161="instrumental"),1,IF(AND(P161="none",COUNTIFS($B$2:$B$479,B161,$P$2:$P$479,"none")&gt;=3),1,0))</f>
        <v/>
      </c>
    </row>
    <row r="162">
      <c r="A162" s="3" t="n">
        <v>56</v>
      </c>
      <c r="B162" s="4" t="inlineStr">
        <is>
          <t>Participant 5</t>
        </is>
      </c>
      <c r="C162" s="4" t="inlineStr">
        <is>
          <t>instrumental</t>
        </is>
      </c>
      <c r="D162" s="4" t="inlineStr">
        <is>
          <t>2026-10-11T19:12:15.442Z</t>
        </is>
      </c>
      <c r="E162" s="3" t="n">
        <v>1</v>
      </c>
      <c r="F162" s="4" t="inlineStr">
        <is>
          <t>7 7 4 3 2 2 4 4</t>
        </is>
      </c>
      <c r="G162" s="3" t="n">
        <v>33</v>
      </c>
      <c r="H162" s="3" t="n">
        <v>29</v>
      </c>
      <c r="I162" s="3" t="inlineStr">
        <is>
          <t>false</t>
        </is>
      </c>
      <c r="J162" s="3" t="n">
        <v>4</v>
      </c>
      <c r="K162" s="3" t="n">
        <v>3319</v>
      </c>
      <c r="L162" s="3" t="n">
        <v>8</v>
      </c>
      <c r="M162" s="5" t="n">
        <v>1.8</v>
      </c>
      <c r="N162" s="3" t="n">
        <v>1</v>
      </c>
      <c r="O162" s="3" t="n">
        <v>9</v>
      </c>
      <c r="P162" s="6">
        <f>LOWER(TRIM(C162))</f>
        <v/>
      </c>
      <c r="Q162" s="6">
        <f>IF(I162="true",1,0)</f>
        <v/>
      </c>
      <c r="R162" s="7">
        <f>IF(K162="","",K162)</f>
        <v/>
      </c>
      <c r="S162" s="6">
        <f>IF(OR(H162="",H162&lt;8,H162&gt;72),"",J162)</f>
        <v/>
      </c>
      <c r="T162" s="6">
        <f>IF(OR(P162="lyrics",P162="instrumental"),1,IF(AND(P162="none",COUNTIFS($B$2:$B$479,B162,$P$2:$P$479,"none")&gt;=3),1,0))</f>
        <v/>
      </c>
    </row>
    <row r="163">
      <c r="A163" s="8" t="n">
        <v>56</v>
      </c>
      <c r="B163" s="9" t="inlineStr">
        <is>
          <t>Participant 5</t>
        </is>
      </c>
      <c r="C163" s="9" t="inlineStr">
        <is>
          <t>instrumental</t>
        </is>
      </c>
      <c r="D163" s="9" t="inlineStr">
        <is>
          <t>2026-10-11T19:12:15.442Z</t>
        </is>
      </c>
      <c r="E163" s="8" t="n">
        <v>2</v>
      </c>
      <c r="F163" s="9" t="inlineStr">
        <is>
          <t>8 1 6 5 6 4 3 8</t>
        </is>
      </c>
      <c r="G163" s="8" t="n">
        <v>41</v>
      </c>
      <c r="H163" s="8" t="n">
        <v>41</v>
      </c>
      <c r="I163" s="8" t="inlineStr">
        <is>
          <t>true</t>
        </is>
      </c>
      <c r="J163" s="8" t="n">
        <v>0</v>
      </c>
      <c r="K163" s="8" t="n">
        <v>3377</v>
      </c>
      <c r="L163" s="8" t="n">
        <v>8</v>
      </c>
      <c r="M163" s="10" t="n">
        <v>1.8</v>
      </c>
      <c r="N163" s="8" t="n">
        <v>1</v>
      </c>
      <c r="O163" s="8" t="n">
        <v>9</v>
      </c>
      <c r="P163" s="6">
        <f>LOWER(TRIM(C163))</f>
        <v/>
      </c>
      <c r="Q163" s="6">
        <f>IF(I163="true",1,0)</f>
        <v/>
      </c>
      <c r="R163" s="7">
        <f>IF(K163="","",K163)</f>
        <v/>
      </c>
      <c r="S163" s="6">
        <f>IF(OR(H163="",H163&lt;8,H163&gt;72),"",J163)</f>
        <v/>
      </c>
      <c r="T163" s="6">
        <f>IF(OR(P163="lyrics",P163="instrumental"),1,IF(AND(P163="none",COUNTIFS($B$2:$B$479,B163,$P$2:$P$479,"none")&gt;=3),1,0))</f>
        <v/>
      </c>
    </row>
    <row r="164">
      <c r="A164" s="3" t="n">
        <v>56</v>
      </c>
      <c r="B164" s="4" t="inlineStr">
        <is>
          <t>Participant 5</t>
        </is>
      </c>
      <c r="C164" s="4" t="inlineStr">
        <is>
          <t>instrumental</t>
        </is>
      </c>
      <c r="D164" s="4" t="inlineStr">
        <is>
          <t>2026-10-11T19:12:15.442Z</t>
        </is>
      </c>
      <c r="E164" s="3" t="n">
        <v>3</v>
      </c>
      <c r="F164" s="4" t="inlineStr">
        <is>
          <t>3 8 1 3 2 5 6 9</t>
        </is>
      </c>
      <c r="G164" s="3" t="n">
        <v>37</v>
      </c>
      <c r="H164" s="3" t="n">
        <v>41</v>
      </c>
      <c r="I164" s="3" t="inlineStr">
        <is>
          <t>false</t>
        </is>
      </c>
      <c r="J164" s="3" t="n">
        <v>4</v>
      </c>
      <c r="K164" s="3" t="n">
        <v>3514</v>
      </c>
      <c r="L164" s="3" t="n">
        <v>8</v>
      </c>
      <c r="M164" s="5" t="n">
        <v>1.8</v>
      </c>
      <c r="N164" s="3" t="n">
        <v>1</v>
      </c>
      <c r="O164" s="3" t="n">
        <v>9</v>
      </c>
      <c r="P164" s="6">
        <f>LOWER(TRIM(C164))</f>
        <v/>
      </c>
      <c r="Q164" s="6">
        <f>IF(I164="true",1,0)</f>
        <v/>
      </c>
      <c r="R164" s="7">
        <f>IF(K164="","",K164)</f>
        <v/>
      </c>
      <c r="S164" s="6">
        <f>IF(OR(H164="",H164&lt;8,H164&gt;72),"",J164)</f>
        <v/>
      </c>
      <c r="T164" s="6">
        <f>IF(OR(P164="lyrics",P164="instrumental"),1,IF(AND(P164="none",COUNTIFS($B$2:$B$479,B164,$P$2:$P$479,"none")&gt;=3),1,0))</f>
        <v/>
      </c>
    </row>
    <row r="165">
      <c r="A165" s="8" t="n">
        <v>57</v>
      </c>
      <c r="B165" s="9" t="inlineStr">
        <is>
          <t>Participant 5</t>
        </is>
      </c>
      <c r="C165" s="9" t="inlineStr">
        <is>
          <t>lyrics</t>
        </is>
      </c>
      <c r="D165" s="9" t="inlineStr">
        <is>
          <t>2026-10-11T19:14:13.251Z</t>
        </is>
      </c>
      <c r="E165" s="8" t="n">
        <v>1</v>
      </c>
      <c r="F165" s="9" t="inlineStr">
        <is>
          <t>7 4 2 9 6 8 8 7</t>
        </is>
      </c>
      <c r="G165" s="8" t="n">
        <v>51</v>
      </c>
      <c r="H165" s="8" t="n">
        <v>40</v>
      </c>
      <c r="I165" s="8" t="inlineStr">
        <is>
          <t>false</t>
        </is>
      </c>
      <c r="J165" s="8" t="n">
        <v>11</v>
      </c>
      <c r="K165" s="8" t="n">
        <v>3113</v>
      </c>
      <c r="L165" s="8" t="n">
        <v>8</v>
      </c>
      <c r="M165" s="10" t="n">
        <v>1.8</v>
      </c>
      <c r="N165" s="8" t="n">
        <v>1</v>
      </c>
      <c r="O165" s="8" t="n">
        <v>9</v>
      </c>
      <c r="P165" s="6">
        <f>LOWER(TRIM(C165))</f>
        <v/>
      </c>
      <c r="Q165" s="6">
        <f>IF(I165="true",1,0)</f>
        <v/>
      </c>
      <c r="R165" s="7">
        <f>IF(K165="","",K165)</f>
        <v/>
      </c>
      <c r="S165" s="6">
        <f>IF(OR(H165="",H165&lt;8,H165&gt;72),"",J165)</f>
        <v/>
      </c>
      <c r="T165" s="6">
        <f>IF(OR(P165="lyrics",P165="instrumental"),1,IF(AND(P165="none",COUNTIFS($B$2:$B$479,B165,$P$2:$P$479,"none")&gt;=3),1,0))</f>
        <v/>
      </c>
    </row>
    <row r="166">
      <c r="A166" s="3" t="n">
        <v>57</v>
      </c>
      <c r="B166" s="4" t="inlineStr">
        <is>
          <t>Participant 5</t>
        </is>
      </c>
      <c r="C166" s="4" t="inlineStr">
        <is>
          <t>lyrics</t>
        </is>
      </c>
      <c r="D166" s="4" t="inlineStr">
        <is>
          <t>2026-10-11T19:14:13.251Z</t>
        </is>
      </c>
      <c r="E166" s="3" t="n">
        <v>2</v>
      </c>
      <c r="F166" s="4" t="inlineStr">
        <is>
          <t>6 9 6 1 5 9 4 9</t>
        </is>
      </c>
      <c r="G166" s="3" t="n">
        <v>49</v>
      </c>
      <c r="H166" s="3" t="n">
        <v>41</v>
      </c>
      <c r="I166" s="3" t="inlineStr">
        <is>
          <t>false</t>
        </is>
      </c>
      <c r="J166" s="3" t="n">
        <v>8</v>
      </c>
      <c r="K166" s="3" t="n">
        <v>7370</v>
      </c>
      <c r="L166" s="3" t="n">
        <v>8</v>
      </c>
      <c r="M166" s="5" t="n">
        <v>1.8</v>
      </c>
      <c r="N166" s="3" t="n">
        <v>1</v>
      </c>
      <c r="O166" s="3" t="n">
        <v>9</v>
      </c>
      <c r="P166" s="6">
        <f>LOWER(TRIM(C166))</f>
        <v/>
      </c>
      <c r="Q166" s="6">
        <f>IF(I166="true",1,0)</f>
        <v/>
      </c>
      <c r="R166" s="7">
        <f>IF(K166="","",K166)</f>
        <v/>
      </c>
      <c r="S166" s="6">
        <f>IF(OR(H166="",H166&lt;8,H166&gt;72),"",J166)</f>
        <v/>
      </c>
      <c r="T166" s="6">
        <f>IF(OR(P166="lyrics",P166="instrumental"),1,IF(AND(P166="none",COUNTIFS($B$2:$B$479,B166,$P$2:$P$479,"none")&gt;=3),1,0))</f>
        <v/>
      </c>
    </row>
    <row r="167">
      <c r="A167" s="8" t="n">
        <v>57</v>
      </c>
      <c r="B167" s="9" t="inlineStr">
        <is>
          <t>Participant 5</t>
        </is>
      </c>
      <c r="C167" s="9" t="inlineStr">
        <is>
          <t>lyrics</t>
        </is>
      </c>
      <c r="D167" s="9" t="inlineStr">
        <is>
          <t>2026-10-11T19:14:13.251Z</t>
        </is>
      </c>
      <c r="E167" s="8" t="n">
        <v>3</v>
      </c>
      <c r="F167" s="9" t="inlineStr">
        <is>
          <t>2 6 8 2 8 9 2 4</t>
        </is>
      </c>
      <c r="G167" s="8" t="n">
        <v>41</v>
      </c>
      <c r="H167" s="8" t="n">
        <v>3</v>
      </c>
      <c r="I167" s="8" t="inlineStr">
        <is>
          <t>false</t>
        </is>
      </c>
      <c r="J167" s="8" t="n">
        <v>38</v>
      </c>
      <c r="K167" s="8" t="n"/>
      <c r="L167" s="8" t="n">
        <v>8</v>
      </c>
      <c r="M167" s="10" t="n">
        <v>1.8</v>
      </c>
      <c r="N167" s="8" t="n">
        <v>1</v>
      </c>
      <c r="O167" s="8" t="n">
        <v>9</v>
      </c>
      <c r="P167" s="6">
        <f>LOWER(TRIM(C167))</f>
        <v/>
      </c>
      <c r="Q167" s="6">
        <f>IF(I167="true",1,0)</f>
        <v/>
      </c>
      <c r="R167" s="7">
        <f>IF(K167="","",K167)</f>
        <v/>
      </c>
      <c r="S167" s="6">
        <f>IF(OR(H167="",H167&lt;8,H167&gt;72),"",J167)</f>
        <v/>
      </c>
      <c r="T167" s="6">
        <f>IF(OR(P167="lyrics",P167="instrumental"),1,IF(AND(P167="none",COUNTIFS($B$2:$B$479,B167,$P$2:$P$479,"none")&gt;=3),1,0))</f>
        <v/>
      </c>
    </row>
    <row r="168">
      <c r="A168" s="3" t="n">
        <v>58</v>
      </c>
      <c r="B168" s="4" t="inlineStr">
        <is>
          <t>Participant 5</t>
        </is>
      </c>
      <c r="C168" s="4" t="inlineStr">
        <is>
          <t>instrumental</t>
        </is>
      </c>
      <c r="D168" s="4" t="inlineStr">
        <is>
          <t>2026-10-11T19:17:32.094Z</t>
        </is>
      </c>
      <c r="E168" s="3" t="n">
        <v>1</v>
      </c>
      <c r="F168" s="4" t="inlineStr">
        <is>
          <t>1 4 6 2 2 4 7 1</t>
        </is>
      </c>
      <c r="G168" s="3" t="n">
        <v>27</v>
      </c>
      <c r="H168" s="3" t="n">
        <v>27</v>
      </c>
      <c r="I168" s="3" t="inlineStr">
        <is>
          <t>true</t>
        </is>
      </c>
      <c r="J168" s="3" t="n">
        <v>0</v>
      </c>
      <c r="K168" s="3" t="n">
        <v>4515</v>
      </c>
      <c r="L168" s="3" t="n">
        <v>8</v>
      </c>
      <c r="M168" s="5" t="n">
        <v>1.8</v>
      </c>
      <c r="N168" s="3" t="n">
        <v>1</v>
      </c>
      <c r="O168" s="3" t="n">
        <v>9</v>
      </c>
      <c r="P168" s="6">
        <f>LOWER(TRIM(C168))</f>
        <v/>
      </c>
      <c r="Q168" s="6">
        <f>IF(I168="true",1,0)</f>
        <v/>
      </c>
      <c r="R168" s="7">
        <f>IF(K168="","",K168)</f>
        <v/>
      </c>
      <c r="S168" s="6">
        <f>IF(OR(H168="",H168&lt;8,H168&gt;72),"",J168)</f>
        <v/>
      </c>
      <c r="T168" s="6">
        <f>IF(OR(P168="lyrics",P168="instrumental"),1,IF(AND(P168="none",COUNTIFS($B$2:$B$479,B168,$P$2:$P$479,"none")&gt;=3),1,0))</f>
        <v/>
      </c>
    </row>
    <row r="169">
      <c r="A169" s="8" t="n">
        <v>58</v>
      </c>
      <c r="B169" s="9" t="inlineStr">
        <is>
          <t>Participant 5</t>
        </is>
      </c>
      <c r="C169" s="9" t="inlineStr">
        <is>
          <t>instrumental</t>
        </is>
      </c>
      <c r="D169" s="9" t="inlineStr">
        <is>
          <t>2026-10-11T19:17:32.094Z</t>
        </is>
      </c>
      <c r="E169" s="8" t="n">
        <v>2</v>
      </c>
      <c r="F169" s="9" t="inlineStr">
        <is>
          <t>3 8 9 5 9 3 6 9</t>
        </is>
      </c>
      <c r="G169" s="8" t="n">
        <v>52</v>
      </c>
      <c r="H169" s="8" t="n">
        <v>49</v>
      </c>
      <c r="I169" s="8" t="inlineStr">
        <is>
          <t>false</t>
        </is>
      </c>
      <c r="J169" s="8" t="n">
        <v>3</v>
      </c>
      <c r="K169" s="8" t="n"/>
      <c r="L169" s="8" t="n">
        <v>8</v>
      </c>
      <c r="M169" s="10" t="n">
        <v>1.8</v>
      </c>
      <c r="N169" s="8" t="n">
        <v>1</v>
      </c>
      <c r="O169" s="8" t="n">
        <v>9</v>
      </c>
      <c r="P169" s="6">
        <f>LOWER(TRIM(C169))</f>
        <v/>
      </c>
      <c r="Q169" s="6">
        <f>IF(I169="true",1,0)</f>
        <v/>
      </c>
      <c r="R169" s="7">
        <f>IF(K169="","",K169)</f>
        <v/>
      </c>
      <c r="S169" s="6">
        <f>IF(OR(H169="",H169&lt;8,H169&gt;72),"",J169)</f>
        <v/>
      </c>
      <c r="T169" s="6">
        <f>IF(OR(P169="lyrics",P169="instrumental"),1,IF(AND(P169="none",COUNTIFS($B$2:$B$479,B169,$P$2:$P$479,"none")&gt;=3),1,0))</f>
        <v/>
      </c>
    </row>
    <row r="170">
      <c r="A170" s="3" t="n">
        <v>58</v>
      </c>
      <c r="B170" s="4" t="inlineStr">
        <is>
          <t>Participant 5</t>
        </is>
      </c>
      <c r="C170" s="4" t="inlineStr">
        <is>
          <t>instrumental</t>
        </is>
      </c>
      <c r="D170" s="4" t="inlineStr">
        <is>
          <t>2026-10-11T19:17:32.094Z</t>
        </is>
      </c>
      <c r="E170" s="3" t="n">
        <v>3</v>
      </c>
      <c r="F170" s="4" t="inlineStr">
        <is>
          <t>9 5 1 6 6 1 3 9</t>
        </is>
      </c>
      <c r="G170" s="3" t="n">
        <v>40</v>
      </c>
      <c r="H170" s="3" t="n">
        <v>40</v>
      </c>
      <c r="I170" s="3" t="inlineStr">
        <is>
          <t>true</t>
        </is>
      </c>
      <c r="J170" s="3" t="n">
        <v>0</v>
      </c>
      <c r="K170" s="3" t="n">
        <v>4356</v>
      </c>
      <c r="L170" s="3" t="n">
        <v>8</v>
      </c>
      <c r="M170" s="5" t="n">
        <v>1.8</v>
      </c>
      <c r="N170" s="3" t="n">
        <v>1</v>
      </c>
      <c r="O170" s="3" t="n">
        <v>9</v>
      </c>
      <c r="P170" s="6">
        <f>LOWER(TRIM(C170))</f>
        <v/>
      </c>
      <c r="Q170" s="6">
        <f>IF(I170="true",1,0)</f>
        <v/>
      </c>
      <c r="R170" s="7">
        <f>IF(K170="","",K170)</f>
        <v/>
      </c>
      <c r="S170" s="6">
        <f>IF(OR(H170="",H170&lt;8,H170&gt;72),"",J170)</f>
        <v/>
      </c>
      <c r="T170" s="6">
        <f>IF(OR(P170="lyrics",P170="instrumental"),1,IF(AND(P170="none",COUNTIFS($B$2:$B$479,B170,$P$2:$P$479,"none")&gt;=3),1,0))</f>
        <v/>
      </c>
    </row>
    <row r="171">
      <c r="A171" s="8" t="n">
        <v>59</v>
      </c>
      <c r="B171" s="9" t="inlineStr">
        <is>
          <t>Participant 5</t>
        </is>
      </c>
      <c r="C171" s="9" t="inlineStr">
        <is>
          <t>lyrics</t>
        </is>
      </c>
      <c r="D171" s="9" t="inlineStr">
        <is>
          <t>2026-10-11T19:18:52.617Z</t>
        </is>
      </c>
      <c r="E171" s="8" t="n">
        <v>1</v>
      </c>
      <c r="F171" s="9" t="inlineStr">
        <is>
          <t>6 4 4 3 3 3 1 1</t>
        </is>
      </c>
      <c r="G171" s="8" t="n">
        <v>25</v>
      </c>
      <c r="H171" s="8" t="n">
        <v>26</v>
      </c>
      <c r="I171" s="8" t="inlineStr">
        <is>
          <t>false</t>
        </is>
      </c>
      <c r="J171" s="8" t="n">
        <v>1</v>
      </c>
      <c r="K171" s="8" t="n">
        <v>2439</v>
      </c>
      <c r="L171" s="8" t="n">
        <v>8</v>
      </c>
      <c r="M171" s="10" t="n">
        <v>1.8</v>
      </c>
      <c r="N171" s="8" t="n">
        <v>1</v>
      </c>
      <c r="O171" s="8" t="n">
        <v>9</v>
      </c>
      <c r="P171" s="6">
        <f>LOWER(TRIM(C171))</f>
        <v/>
      </c>
      <c r="Q171" s="6">
        <f>IF(I171="true",1,0)</f>
        <v/>
      </c>
      <c r="R171" s="7">
        <f>IF(K171="","",K171)</f>
        <v/>
      </c>
      <c r="S171" s="6">
        <f>IF(OR(H171="",H171&lt;8,H171&gt;72),"",J171)</f>
        <v/>
      </c>
      <c r="T171" s="6">
        <f>IF(OR(P171="lyrics",P171="instrumental"),1,IF(AND(P171="none",COUNTIFS($B$2:$B$479,B171,$P$2:$P$479,"none")&gt;=3),1,0))</f>
        <v/>
      </c>
    </row>
    <row r="172">
      <c r="A172" s="3" t="n">
        <v>59</v>
      </c>
      <c r="B172" s="4" t="inlineStr">
        <is>
          <t>Participant 5</t>
        </is>
      </c>
      <c r="C172" s="4" t="inlineStr">
        <is>
          <t>lyrics</t>
        </is>
      </c>
      <c r="D172" s="4" t="inlineStr">
        <is>
          <t>2026-10-11T19:18:52.617Z</t>
        </is>
      </c>
      <c r="E172" s="3" t="n">
        <v>2</v>
      </c>
      <c r="F172" s="4" t="inlineStr">
        <is>
          <t>1 1 3 4 3 6 9 2</t>
        </is>
      </c>
      <c r="G172" s="3" t="n">
        <v>29</v>
      </c>
      <c r="H172" s="3" t="n">
        <v>23</v>
      </c>
      <c r="I172" s="3" t="inlineStr">
        <is>
          <t>false</t>
        </is>
      </c>
      <c r="J172" s="3" t="n">
        <v>6</v>
      </c>
      <c r="K172" s="3" t="n">
        <v>2182</v>
      </c>
      <c r="L172" s="3" t="n">
        <v>8</v>
      </c>
      <c r="M172" s="5" t="n">
        <v>1.8</v>
      </c>
      <c r="N172" s="3" t="n">
        <v>1</v>
      </c>
      <c r="O172" s="3" t="n">
        <v>9</v>
      </c>
      <c r="P172" s="6">
        <f>LOWER(TRIM(C172))</f>
        <v/>
      </c>
      <c r="Q172" s="6">
        <f>IF(I172="true",1,0)</f>
        <v/>
      </c>
      <c r="R172" s="7">
        <f>IF(K172="","",K172)</f>
        <v/>
      </c>
      <c r="S172" s="6">
        <f>IF(OR(H172="",H172&lt;8,H172&gt;72),"",J172)</f>
        <v/>
      </c>
      <c r="T172" s="6">
        <f>IF(OR(P172="lyrics",P172="instrumental"),1,IF(AND(P172="none",COUNTIFS($B$2:$B$479,B172,$P$2:$P$479,"none")&gt;=3),1,0))</f>
        <v/>
      </c>
    </row>
    <row r="173">
      <c r="A173" s="8" t="n">
        <v>59</v>
      </c>
      <c r="B173" s="9" t="inlineStr">
        <is>
          <t>Participant 5</t>
        </is>
      </c>
      <c r="C173" s="9" t="inlineStr">
        <is>
          <t>lyrics</t>
        </is>
      </c>
      <c r="D173" s="9" t="inlineStr">
        <is>
          <t>2026-10-11T19:18:52.617Z</t>
        </is>
      </c>
      <c r="E173" s="8" t="n">
        <v>3</v>
      </c>
      <c r="F173" s="9" t="inlineStr">
        <is>
          <t>4 5 3 8 3 9 7 7</t>
        </is>
      </c>
      <c r="G173" s="8" t="n">
        <v>46</v>
      </c>
      <c r="H173" s="8" t="n">
        <v>46</v>
      </c>
      <c r="I173" s="8" t="inlineStr">
        <is>
          <t>true</t>
        </is>
      </c>
      <c r="J173" s="8" t="n">
        <v>0</v>
      </c>
      <c r="K173" s="8" t="n">
        <v>5831</v>
      </c>
      <c r="L173" s="8" t="n">
        <v>8</v>
      </c>
      <c r="M173" s="10" t="n">
        <v>1.8</v>
      </c>
      <c r="N173" s="8" t="n">
        <v>1</v>
      </c>
      <c r="O173" s="8" t="n">
        <v>9</v>
      </c>
      <c r="P173" s="6">
        <f>LOWER(TRIM(C173))</f>
        <v/>
      </c>
      <c r="Q173" s="6">
        <f>IF(I173="true",1,0)</f>
        <v/>
      </c>
      <c r="R173" s="7">
        <f>IF(K173="","",K173)</f>
        <v/>
      </c>
      <c r="S173" s="6">
        <f>IF(OR(H173="",H173&lt;8,H173&gt;72),"",J173)</f>
        <v/>
      </c>
      <c r="T173" s="6">
        <f>IF(OR(P173="lyrics",P173="instrumental"),1,IF(AND(P173="none",COUNTIFS($B$2:$B$479,B173,$P$2:$P$479,"none")&gt;=3),1,0))</f>
        <v/>
      </c>
    </row>
    <row r="174">
      <c r="A174" s="3" t="n">
        <v>60</v>
      </c>
      <c r="B174" s="4" t="inlineStr">
        <is>
          <t>Participant 5</t>
        </is>
      </c>
      <c r="C174" s="4" t="inlineStr">
        <is>
          <t>instrumental</t>
        </is>
      </c>
      <c r="D174" s="4" t="inlineStr">
        <is>
          <t>2026-10-11T19:20:57.855Z</t>
        </is>
      </c>
      <c r="E174" s="3" t="n">
        <v>1</v>
      </c>
      <c r="F174" s="4" t="inlineStr">
        <is>
          <t>3 7 2 6 5 7 2 4</t>
        </is>
      </c>
      <c r="G174" s="3" t="n">
        <v>36</v>
      </c>
      <c r="H174" s="3" t="n">
        <v>36</v>
      </c>
      <c r="I174" s="3" t="inlineStr">
        <is>
          <t>true</t>
        </is>
      </c>
      <c r="J174" s="3" t="n">
        <v>0</v>
      </c>
      <c r="K174" s="3" t="n">
        <v>2982</v>
      </c>
      <c r="L174" s="3" t="n">
        <v>8</v>
      </c>
      <c r="M174" s="5" t="n">
        <v>1.8</v>
      </c>
      <c r="N174" s="3" t="n">
        <v>1</v>
      </c>
      <c r="O174" s="3" t="n">
        <v>9</v>
      </c>
      <c r="P174" s="6">
        <f>LOWER(TRIM(C174))</f>
        <v/>
      </c>
      <c r="Q174" s="6">
        <f>IF(I174="true",1,0)</f>
        <v/>
      </c>
      <c r="R174" s="7">
        <f>IF(K174="","",K174)</f>
        <v/>
      </c>
      <c r="S174" s="6">
        <f>IF(OR(H174="",H174&lt;8,H174&gt;72),"",J174)</f>
        <v/>
      </c>
      <c r="T174" s="6">
        <f>IF(OR(P174="lyrics",P174="instrumental"),1,IF(AND(P174="none",COUNTIFS($B$2:$B$479,B174,$P$2:$P$479,"none")&gt;=3),1,0))</f>
        <v/>
      </c>
    </row>
    <row r="175">
      <c r="A175" s="8" t="n">
        <v>60</v>
      </c>
      <c r="B175" s="9" t="inlineStr">
        <is>
          <t>Participant 5</t>
        </is>
      </c>
      <c r="C175" s="9" t="inlineStr">
        <is>
          <t>instrumental</t>
        </is>
      </c>
      <c r="D175" s="9" t="inlineStr">
        <is>
          <t>2026-10-11T19:20:57.855Z</t>
        </is>
      </c>
      <c r="E175" s="8" t="n">
        <v>2</v>
      </c>
      <c r="F175" s="9" t="inlineStr">
        <is>
          <t>9 1 5 3 8 2 4 4</t>
        </is>
      </c>
      <c r="G175" s="8" t="n">
        <v>36</v>
      </c>
      <c r="H175" s="8" t="n">
        <v>36</v>
      </c>
      <c r="I175" s="8" t="inlineStr">
        <is>
          <t>true</t>
        </is>
      </c>
      <c r="J175" s="8" t="n">
        <v>0</v>
      </c>
      <c r="K175" s="8" t="n">
        <v>5901</v>
      </c>
      <c r="L175" s="8" t="n">
        <v>8</v>
      </c>
      <c r="M175" s="10" t="n">
        <v>1.8</v>
      </c>
      <c r="N175" s="8" t="n">
        <v>1</v>
      </c>
      <c r="O175" s="8" t="n">
        <v>9</v>
      </c>
      <c r="P175" s="6">
        <f>LOWER(TRIM(C175))</f>
        <v/>
      </c>
      <c r="Q175" s="6">
        <f>IF(I175="true",1,0)</f>
        <v/>
      </c>
      <c r="R175" s="7">
        <f>IF(K175="","",K175)</f>
        <v/>
      </c>
      <c r="S175" s="6">
        <f>IF(OR(H175="",H175&lt;8,H175&gt;72),"",J175)</f>
        <v/>
      </c>
      <c r="T175" s="6">
        <f>IF(OR(P175="lyrics",P175="instrumental"),1,IF(AND(P175="none",COUNTIFS($B$2:$B$479,B175,$P$2:$P$479,"none")&gt;=3),1,0))</f>
        <v/>
      </c>
    </row>
    <row r="176">
      <c r="A176" s="3" t="n">
        <v>60</v>
      </c>
      <c r="B176" s="4" t="inlineStr">
        <is>
          <t>Participant 5</t>
        </is>
      </c>
      <c r="C176" s="4" t="inlineStr">
        <is>
          <t>instrumental</t>
        </is>
      </c>
      <c r="D176" s="4" t="inlineStr">
        <is>
          <t>2026-10-11T19:20:57.855Z</t>
        </is>
      </c>
      <c r="E176" s="3" t="n">
        <v>3</v>
      </c>
      <c r="F176" s="4" t="inlineStr">
        <is>
          <t>3 3 9 2 6 2 3 5</t>
        </is>
      </c>
      <c r="G176" s="3" t="n">
        <v>33</v>
      </c>
      <c r="H176" s="3" t="n">
        <v>33</v>
      </c>
      <c r="I176" s="3" t="inlineStr">
        <is>
          <t>true</t>
        </is>
      </c>
      <c r="J176" s="3" t="n">
        <v>0</v>
      </c>
      <c r="K176" s="3" t="n">
        <v>3510</v>
      </c>
      <c r="L176" s="3" t="n">
        <v>8</v>
      </c>
      <c r="M176" s="5" t="n">
        <v>1.8</v>
      </c>
      <c r="N176" s="3" t="n">
        <v>1</v>
      </c>
      <c r="O176" s="3" t="n">
        <v>9</v>
      </c>
      <c r="P176" s="6">
        <f>LOWER(TRIM(C176))</f>
        <v/>
      </c>
      <c r="Q176" s="6">
        <f>IF(I176="true",1,0)</f>
        <v/>
      </c>
      <c r="R176" s="7">
        <f>IF(K176="","",K176)</f>
        <v/>
      </c>
      <c r="S176" s="6">
        <f>IF(OR(H176="",H176&lt;8,H176&gt;72),"",J176)</f>
        <v/>
      </c>
      <c r="T176" s="6">
        <f>IF(OR(P176="lyrics",P176="instrumental"),1,IF(AND(P176="none",COUNTIFS($B$2:$B$479,B176,$P$2:$P$479,"none")&gt;=3),1,0))</f>
        <v/>
      </c>
    </row>
    <row r="177">
      <c r="A177" s="8" t="n">
        <v>61</v>
      </c>
      <c r="B177" s="9" t="inlineStr">
        <is>
          <t>Participant 6</t>
        </is>
      </c>
      <c r="C177" s="9" t="inlineStr">
        <is>
          <t>none</t>
        </is>
      </c>
      <c r="D177" s="9" t="inlineStr">
        <is>
          <t>2026-10-11T19:43:25.171Z</t>
        </is>
      </c>
      <c r="E177" s="8" t="n">
        <v>1</v>
      </c>
      <c r="F177" s="9" t="inlineStr">
        <is>
          <t>6 7 9 4 3 8 3 7</t>
        </is>
      </c>
      <c r="G177" s="8" t="n">
        <v>47</v>
      </c>
      <c r="H177" s="8" t="n">
        <v>47</v>
      </c>
      <c r="I177" s="8" t="inlineStr">
        <is>
          <t>true</t>
        </is>
      </c>
      <c r="J177" s="8" t="n">
        <v>0</v>
      </c>
      <c r="K177" s="8" t="n">
        <v>2713</v>
      </c>
      <c r="L177" s="8" t="n">
        <v>8</v>
      </c>
      <c r="M177" s="10" t="n">
        <v>1.5</v>
      </c>
      <c r="N177" s="8" t="n">
        <v>1</v>
      </c>
      <c r="O177" s="8" t="n">
        <v>9</v>
      </c>
      <c r="P177" s="6">
        <f>LOWER(TRIM(C177))</f>
        <v/>
      </c>
      <c r="Q177" s="6">
        <f>IF(I177="true",1,0)</f>
        <v/>
      </c>
      <c r="R177" s="7">
        <f>IF(K177="","",K177)</f>
        <v/>
      </c>
      <c r="S177" s="6">
        <f>IF(OR(H177="",H177&lt;8,H177&gt;72),"",J177)</f>
        <v/>
      </c>
      <c r="T177" s="6">
        <f>IF(OR(P177="lyrics",P177="instrumental"),1,IF(AND(P177="none",COUNTIFS($B$2:$B$479,B177,$P$2:$P$479,"none")&gt;=3),1,0))</f>
        <v/>
      </c>
    </row>
    <row r="178">
      <c r="A178" s="3" t="n">
        <v>61</v>
      </c>
      <c r="B178" s="4" t="inlineStr">
        <is>
          <t>Participant 6</t>
        </is>
      </c>
      <c r="C178" s="4" t="inlineStr">
        <is>
          <t>none</t>
        </is>
      </c>
      <c r="D178" s="4" t="inlineStr">
        <is>
          <t>2026-10-11T19:43:25.171Z</t>
        </is>
      </c>
      <c r="E178" s="3" t="n">
        <v>2</v>
      </c>
      <c r="F178" s="4" t="inlineStr">
        <is>
          <t>3 4 5 4 9 1 1 6</t>
        </is>
      </c>
      <c r="G178" s="3" t="n">
        <v>33</v>
      </c>
      <c r="H178" s="3" t="n">
        <v>38</v>
      </c>
      <c r="I178" s="3" t="inlineStr">
        <is>
          <t>false</t>
        </is>
      </c>
      <c r="J178" s="3" t="n">
        <v>5</v>
      </c>
      <c r="K178" s="3" t="n">
        <v>3183</v>
      </c>
      <c r="L178" s="3" t="n">
        <v>8</v>
      </c>
      <c r="M178" s="5" t="n">
        <v>1.5</v>
      </c>
      <c r="N178" s="3" t="n">
        <v>1</v>
      </c>
      <c r="O178" s="3" t="n">
        <v>9</v>
      </c>
      <c r="P178" s="6">
        <f>LOWER(TRIM(C178))</f>
        <v/>
      </c>
      <c r="Q178" s="6">
        <f>IF(I178="true",1,0)</f>
        <v/>
      </c>
      <c r="R178" s="7">
        <f>IF(K178="","",K178)</f>
        <v/>
      </c>
      <c r="S178" s="6">
        <f>IF(OR(H178="",H178&lt;8,H178&gt;72),"",J178)</f>
        <v/>
      </c>
      <c r="T178" s="6">
        <f>IF(OR(P178="lyrics",P178="instrumental"),1,IF(AND(P178="none",COUNTIFS($B$2:$B$479,B178,$P$2:$P$479,"none")&gt;=3),1,0))</f>
        <v/>
      </c>
    </row>
    <row r="179">
      <c r="A179" s="8" t="n">
        <v>62</v>
      </c>
      <c r="B179" s="9" t="inlineStr">
        <is>
          <t>Participant 6</t>
        </is>
      </c>
      <c r="C179" s="9" t="inlineStr">
        <is>
          <t>instrumental</t>
        </is>
      </c>
      <c r="D179" s="9" t="inlineStr">
        <is>
          <t>2026-10-11T19:45:41.619Z</t>
        </is>
      </c>
      <c r="E179" s="8" t="n">
        <v>1</v>
      </c>
      <c r="F179" s="9" t="inlineStr">
        <is>
          <t>1 6 8 7 8 4 2 4</t>
        </is>
      </c>
      <c r="G179" s="8" t="n">
        <v>40</v>
      </c>
      <c r="H179" s="8" t="n">
        <v>40</v>
      </c>
      <c r="I179" s="8" t="inlineStr">
        <is>
          <t>true</t>
        </is>
      </c>
      <c r="J179" s="8" t="n">
        <v>0</v>
      </c>
      <c r="K179" s="8" t="n">
        <v>2503</v>
      </c>
      <c r="L179" s="8" t="n">
        <v>8</v>
      </c>
      <c r="M179" s="10" t="n">
        <v>1.5</v>
      </c>
      <c r="N179" s="8" t="n">
        <v>1</v>
      </c>
      <c r="O179" s="8" t="n">
        <v>9</v>
      </c>
      <c r="P179" s="6">
        <f>LOWER(TRIM(C179))</f>
        <v/>
      </c>
      <c r="Q179" s="6">
        <f>IF(I179="true",1,0)</f>
        <v/>
      </c>
      <c r="R179" s="7">
        <f>IF(K179="","",K179)</f>
        <v/>
      </c>
      <c r="S179" s="6">
        <f>IF(OR(H179="",H179&lt;8,H179&gt;72),"",J179)</f>
        <v/>
      </c>
      <c r="T179" s="6">
        <f>IF(OR(P179="lyrics",P179="instrumental"),1,IF(AND(P179="none",COUNTIFS($B$2:$B$479,B179,$P$2:$P$479,"none")&gt;=3),1,0))</f>
        <v/>
      </c>
    </row>
    <row r="180">
      <c r="A180" s="3" t="n">
        <v>62</v>
      </c>
      <c r="B180" s="4" t="inlineStr">
        <is>
          <t>Participant 6</t>
        </is>
      </c>
      <c r="C180" s="4" t="inlineStr">
        <is>
          <t>instrumental</t>
        </is>
      </c>
      <c r="D180" s="4" t="inlineStr">
        <is>
          <t>2026-10-11T19:45:41.619Z</t>
        </is>
      </c>
      <c r="E180" s="3" t="n">
        <v>2</v>
      </c>
      <c r="F180" s="4" t="inlineStr">
        <is>
          <t>7 4 5 2 7 7 9 1</t>
        </is>
      </c>
      <c r="G180" s="3" t="n">
        <v>42</v>
      </c>
      <c r="H180" s="3" t="n">
        <v>42</v>
      </c>
      <c r="I180" s="3" t="inlineStr">
        <is>
          <t>true</t>
        </is>
      </c>
      <c r="J180" s="3" t="n">
        <v>0</v>
      </c>
      <c r="K180" s="3" t="n">
        <v>4927</v>
      </c>
      <c r="L180" s="3" t="n">
        <v>8</v>
      </c>
      <c r="M180" s="5" t="n">
        <v>1.5</v>
      </c>
      <c r="N180" s="3" t="n">
        <v>1</v>
      </c>
      <c r="O180" s="3" t="n">
        <v>9</v>
      </c>
      <c r="P180" s="6">
        <f>LOWER(TRIM(C180))</f>
        <v/>
      </c>
      <c r="Q180" s="6">
        <f>IF(I180="true",1,0)</f>
        <v/>
      </c>
      <c r="R180" s="7">
        <f>IF(K180="","",K180)</f>
        <v/>
      </c>
      <c r="S180" s="6">
        <f>IF(OR(H180="",H180&lt;8,H180&gt;72),"",J180)</f>
        <v/>
      </c>
      <c r="T180" s="6">
        <f>IF(OR(P180="lyrics",P180="instrumental"),1,IF(AND(P180="none",COUNTIFS($B$2:$B$479,B180,$P$2:$P$479,"none")&gt;=3),1,0))</f>
        <v/>
      </c>
    </row>
    <row r="181">
      <c r="A181" s="8" t="n">
        <v>62</v>
      </c>
      <c r="B181" s="9" t="inlineStr">
        <is>
          <t>Participant 6</t>
        </is>
      </c>
      <c r="C181" s="9" t="inlineStr">
        <is>
          <t>instrumental</t>
        </is>
      </c>
      <c r="D181" s="9" t="inlineStr">
        <is>
          <t>2026-10-11T19:45:41.619Z</t>
        </is>
      </c>
      <c r="E181" s="8" t="n">
        <v>3</v>
      </c>
      <c r="F181" s="9" t="inlineStr">
        <is>
          <t>5 3 5 5 6 6 1 3</t>
        </is>
      </c>
      <c r="G181" s="8" t="n">
        <v>34</v>
      </c>
      <c r="H181" s="8" t="n">
        <v>44</v>
      </c>
      <c r="I181" s="8" t="inlineStr">
        <is>
          <t>false</t>
        </is>
      </c>
      <c r="J181" s="8" t="n">
        <v>10</v>
      </c>
      <c r="K181" s="8" t="n">
        <v>2396</v>
      </c>
      <c r="L181" s="8" t="n">
        <v>8</v>
      </c>
      <c r="M181" s="10" t="n">
        <v>1.5</v>
      </c>
      <c r="N181" s="8" t="n">
        <v>1</v>
      </c>
      <c r="O181" s="8" t="n">
        <v>9</v>
      </c>
      <c r="P181" s="6">
        <f>LOWER(TRIM(C181))</f>
        <v/>
      </c>
      <c r="Q181" s="6">
        <f>IF(I181="true",1,0)</f>
        <v/>
      </c>
      <c r="R181" s="7">
        <f>IF(K181="","",K181)</f>
        <v/>
      </c>
      <c r="S181" s="6">
        <f>IF(OR(H181="",H181&lt;8,H181&gt;72),"",J181)</f>
        <v/>
      </c>
      <c r="T181" s="6">
        <f>IF(OR(P181="lyrics",P181="instrumental"),1,IF(AND(P181="none",COUNTIFS($B$2:$B$479,B181,$P$2:$P$479,"none")&gt;=3),1,0))</f>
        <v/>
      </c>
    </row>
    <row r="182">
      <c r="A182" s="3" t="n">
        <v>63</v>
      </c>
      <c r="B182" s="4" t="inlineStr">
        <is>
          <t>Participant 6</t>
        </is>
      </c>
      <c r="C182" s="4" t="inlineStr">
        <is>
          <t>lyrics</t>
        </is>
      </c>
      <c r="D182" s="4" t="inlineStr">
        <is>
          <t>2026-10-11T19:47:22.888Z</t>
        </is>
      </c>
      <c r="E182" s="3" t="n">
        <v>1</v>
      </c>
      <c r="F182" s="4" t="inlineStr">
        <is>
          <t>6 1 4 9 2 4 1 6</t>
        </is>
      </c>
      <c r="G182" s="3" t="n">
        <v>33</v>
      </c>
      <c r="H182" s="3" t="n">
        <v>33</v>
      </c>
      <c r="I182" s="3" t="inlineStr">
        <is>
          <t>true</t>
        </is>
      </c>
      <c r="J182" s="3" t="n">
        <v>0</v>
      </c>
      <c r="K182" s="3" t="n">
        <v>2256</v>
      </c>
      <c r="L182" s="3" t="n">
        <v>8</v>
      </c>
      <c r="M182" s="5" t="n">
        <v>1.5</v>
      </c>
      <c r="N182" s="3" t="n">
        <v>1</v>
      </c>
      <c r="O182" s="3" t="n">
        <v>9</v>
      </c>
      <c r="P182" s="6">
        <f>LOWER(TRIM(C182))</f>
        <v/>
      </c>
      <c r="Q182" s="6">
        <f>IF(I182="true",1,0)</f>
        <v/>
      </c>
      <c r="R182" s="7">
        <f>IF(K182="","",K182)</f>
        <v/>
      </c>
      <c r="S182" s="6">
        <f>IF(OR(H182="",H182&lt;8,H182&gt;72),"",J182)</f>
        <v/>
      </c>
      <c r="T182" s="6">
        <f>IF(OR(P182="lyrics",P182="instrumental"),1,IF(AND(P182="none",COUNTIFS($B$2:$B$479,B182,$P$2:$P$479,"none")&gt;=3),1,0))</f>
        <v/>
      </c>
    </row>
    <row r="183">
      <c r="A183" s="8" t="n">
        <v>63</v>
      </c>
      <c r="B183" s="9" t="inlineStr">
        <is>
          <t>Participant 6</t>
        </is>
      </c>
      <c r="C183" s="9" t="inlineStr">
        <is>
          <t>lyrics</t>
        </is>
      </c>
      <c r="D183" s="9" t="inlineStr">
        <is>
          <t>2026-10-11T19:47:22.888Z</t>
        </is>
      </c>
      <c r="E183" s="8" t="n">
        <v>2</v>
      </c>
      <c r="F183" s="9" t="inlineStr">
        <is>
          <t>5 2 4 5 9 7 9 9</t>
        </is>
      </c>
      <c r="G183" s="8" t="n">
        <v>50</v>
      </c>
      <c r="H183" s="8" t="n">
        <v>49</v>
      </c>
      <c r="I183" s="8" t="inlineStr">
        <is>
          <t>false</t>
        </is>
      </c>
      <c r="J183" s="8" t="n">
        <v>1</v>
      </c>
      <c r="K183" s="8" t="n">
        <v>2239</v>
      </c>
      <c r="L183" s="8" t="n">
        <v>8</v>
      </c>
      <c r="M183" s="10" t="n">
        <v>1.5</v>
      </c>
      <c r="N183" s="8" t="n">
        <v>1</v>
      </c>
      <c r="O183" s="8" t="n">
        <v>9</v>
      </c>
      <c r="P183" s="6">
        <f>LOWER(TRIM(C183))</f>
        <v/>
      </c>
      <c r="Q183" s="6">
        <f>IF(I183="true",1,0)</f>
        <v/>
      </c>
      <c r="R183" s="7">
        <f>IF(K183="","",K183)</f>
        <v/>
      </c>
      <c r="S183" s="6">
        <f>IF(OR(H183="",H183&lt;8,H183&gt;72),"",J183)</f>
        <v/>
      </c>
      <c r="T183" s="6">
        <f>IF(OR(P183="lyrics",P183="instrumental"),1,IF(AND(P183="none",COUNTIFS($B$2:$B$479,B183,$P$2:$P$479,"none")&gt;=3),1,0))</f>
        <v/>
      </c>
    </row>
    <row r="184">
      <c r="A184" s="3" t="n">
        <v>63</v>
      </c>
      <c r="B184" s="4" t="inlineStr">
        <is>
          <t>Participant 6</t>
        </is>
      </c>
      <c r="C184" s="4" t="inlineStr">
        <is>
          <t>lyrics</t>
        </is>
      </c>
      <c r="D184" s="4" t="inlineStr">
        <is>
          <t>2026-10-11T19:47:22.888Z</t>
        </is>
      </c>
      <c r="E184" s="3" t="n">
        <v>3</v>
      </c>
      <c r="F184" s="4" t="inlineStr">
        <is>
          <t>3 5 5 9 7 4 7 2</t>
        </is>
      </c>
      <c r="G184" s="3" t="n">
        <v>42</v>
      </c>
      <c r="H184" s="3" t="n">
        <v>44</v>
      </c>
      <c r="I184" s="3" t="inlineStr">
        <is>
          <t>false</t>
        </is>
      </c>
      <c r="J184" s="3" t="n">
        <v>2</v>
      </c>
      <c r="K184" s="3" t="n">
        <v>3450</v>
      </c>
      <c r="L184" s="3" t="n">
        <v>8</v>
      </c>
      <c r="M184" s="5" t="n">
        <v>1.5</v>
      </c>
      <c r="N184" s="3" t="n">
        <v>1</v>
      </c>
      <c r="O184" s="3" t="n">
        <v>9</v>
      </c>
      <c r="P184" s="6">
        <f>LOWER(TRIM(C184))</f>
        <v/>
      </c>
      <c r="Q184" s="6">
        <f>IF(I184="true",1,0)</f>
        <v/>
      </c>
      <c r="R184" s="7">
        <f>IF(K184="","",K184)</f>
        <v/>
      </c>
      <c r="S184" s="6">
        <f>IF(OR(H184="",H184&lt;8,H184&gt;72),"",J184)</f>
        <v/>
      </c>
      <c r="T184" s="6">
        <f>IF(OR(P184="lyrics",P184="instrumental"),1,IF(AND(P184="none",COUNTIFS($B$2:$B$479,B184,$P$2:$P$479,"none")&gt;=3),1,0))</f>
        <v/>
      </c>
    </row>
    <row r="185">
      <c r="A185" s="8" t="n">
        <v>64</v>
      </c>
      <c r="B185" s="9" t="inlineStr">
        <is>
          <t>Participant 6</t>
        </is>
      </c>
      <c r="C185" s="9" t="inlineStr">
        <is>
          <t>instrumental</t>
        </is>
      </c>
      <c r="D185" s="9" t="inlineStr">
        <is>
          <t>2026-10-11T19:49:48.448Z</t>
        </is>
      </c>
      <c r="E185" s="8" t="n">
        <v>1</v>
      </c>
      <c r="F185" s="9" t="inlineStr">
        <is>
          <t>3 7 5 5 1 1 5 2</t>
        </is>
      </c>
      <c r="G185" s="8" t="n">
        <v>29</v>
      </c>
      <c r="H185" s="8" t="n">
        <v>27</v>
      </c>
      <c r="I185" s="8" t="inlineStr">
        <is>
          <t>false</t>
        </is>
      </c>
      <c r="J185" s="8" t="n">
        <v>2</v>
      </c>
      <c r="K185" s="8" t="n">
        <v>2823</v>
      </c>
      <c r="L185" s="8" t="n">
        <v>8</v>
      </c>
      <c r="M185" s="10" t="n">
        <v>1.5</v>
      </c>
      <c r="N185" s="8" t="n">
        <v>1</v>
      </c>
      <c r="O185" s="8" t="n">
        <v>9</v>
      </c>
      <c r="P185" s="6">
        <f>LOWER(TRIM(C185))</f>
        <v/>
      </c>
      <c r="Q185" s="6">
        <f>IF(I185="true",1,0)</f>
        <v/>
      </c>
      <c r="R185" s="7">
        <f>IF(K185="","",K185)</f>
        <v/>
      </c>
      <c r="S185" s="6">
        <f>IF(OR(H185="",H185&lt;8,H185&gt;72),"",J185)</f>
        <v/>
      </c>
      <c r="T185" s="6">
        <f>IF(OR(P185="lyrics",P185="instrumental"),1,IF(AND(P185="none",COUNTIFS($B$2:$B$479,B185,$P$2:$P$479,"none")&gt;=3),1,0))</f>
        <v/>
      </c>
    </row>
    <row r="186">
      <c r="A186" s="3" t="n">
        <v>64</v>
      </c>
      <c r="B186" s="4" t="inlineStr">
        <is>
          <t>Participant 6</t>
        </is>
      </c>
      <c r="C186" s="4" t="inlineStr">
        <is>
          <t>instrumental</t>
        </is>
      </c>
      <c r="D186" s="4" t="inlineStr">
        <is>
          <t>2026-10-11T19:49:48.448Z</t>
        </is>
      </c>
      <c r="E186" s="3" t="n">
        <v>2</v>
      </c>
      <c r="F186" s="4" t="inlineStr">
        <is>
          <t>5 2 1 5 1 1 4 8</t>
        </is>
      </c>
      <c r="G186" s="3" t="n">
        <v>27</v>
      </c>
      <c r="H186" s="3" t="n">
        <v>27</v>
      </c>
      <c r="I186" s="3" t="inlineStr">
        <is>
          <t>true</t>
        </is>
      </c>
      <c r="J186" s="3" t="n">
        <v>0</v>
      </c>
      <c r="K186" s="3" t="n">
        <v>2588</v>
      </c>
      <c r="L186" s="3" t="n">
        <v>8</v>
      </c>
      <c r="M186" s="5" t="n">
        <v>1.5</v>
      </c>
      <c r="N186" s="3" t="n">
        <v>1</v>
      </c>
      <c r="O186" s="3" t="n">
        <v>9</v>
      </c>
      <c r="P186" s="6">
        <f>LOWER(TRIM(C186))</f>
        <v/>
      </c>
      <c r="Q186" s="6">
        <f>IF(I186="true",1,0)</f>
        <v/>
      </c>
      <c r="R186" s="7">
        <f>IF(K186="","",K186)</f>
        <v/>
      </c>
      <c r="S186" s="6">
        <f>IF(OR(H186="",H186&lt;8,H186&gt;72),"",J186)</f>
        <v/>
      </c>
      <c r="T186" s="6">
        <f>IF(OR(P186="lyrics",P186="instrumental"),1,IF(AND(P186="none",COUNTIFS($B$2:$B$479,B186,$P$2:$P$479,"none")&gt;=3),1,0))</f>
        <v/>
      </c>
    </row>
    <row r="187">
      <c r="A187" s="8" t="n">
        <v>64</v>
      </c>
      <c r="B187" s="9" t="inlineStr">
        <is>
          <t>Participant 6</t>
        </is>
      </c>
      <c r="C187" s="9" t="inlineStr">
        <is>
          <t>instrumental</t>
        </is>
      </c>
      <c r="D187" s="9" t="inlineStr">
        <is>
          <t>2026-10-11T19:49:48.448Z</t>
        </is>
      </c>
      <c r="E187" s="8" t="n">
        <v>3</v>
      </c>
      <c r="F187" s="9" t="inlineStr">
        <is>
          <t>4 8 7 9 2 1 1 1</t>
        </is>
      </c>
      <c r="G187" s="8" t="n">
        <v>33</v>
      </c>
      <c r="H187" s="8" t="n">
        <v>33</v>
      </c>
      <c r="I187" s="8" t="inlineStr">
        <is>
          <t>true</t>
        </is>
      </c>
      <c r="J187" s="8" t="n">
        <v>0</v>
      </c>
      <c r="K187" s="8" t="n">
        <v>1623</v>
      </c>
      <c r="L187" s="8" t="n">
        <v>8</v>
      </c>
      <c r="M187" s="10" t="n">
        <v>1.5</v>
      </c>
      <c r="N187" s="8" t="n">
        <v>1</v>
      </c>
      <c r="O187" s="8" t="n">
        <v>9</v>
      </c>
      <c r="P187" s="6">
        <f>LOWER(TRIM(C187))</f>
        <v/>
      </c>
      <c r="Q187" s="6">
        <f>IF(I187="true",1,0)</f>
        <v/>
      </c>
      <c r="R187" s="7">
        <f>IF(K187="","",K187)</f>
        <v/>
      </c>
      <c r="S187" s="6">
        <f>IF(OR(H187="",H187&lt;8,H187&gt;72),"",J187)</f>
        <v/>
      </c>
      <c r="T187" s="6">
        <f>IF(OR(P187="lyrics",P187="instrumental"),1,IF(AND(P187="none",COUNTIFS($B$2:$B$479,B187,$P$2:$P$479,"none")&gt;=3),1,0))</f>
        <v/>
      </c>
    </row>
    <row r="188">
      <c r="A188" s="3" t="n">
        <v>65</v>
      </c>
      <c r="B188" s="4" t="inlineStr">
        <is>
          <t>Participant 6</t>
        </is>
      </c>
      <c r="C188" s="4" t="inlineStr">
        <is>
          <t>lyrics</t>
        </is>
      </c>
      <c r="D188" s="4" t="inlineStr">
        <is>
          <t>2026-10-11T19:51:41.647Z</t>
        </is>
      </c>
      <c r="E188" s="3" t="n">
        <v>1</v>
      </c>
      <c r="F188" s="4" t="inlineStr">
        <is>
          <t>1 9 9 2 4 3 2 7</t>
        </is>
      </c>
      <c r="G188" s="3" t="n">
        <v>37</v>
      </c>
      <c r="H188" s="3" t="n">
        <v>36</v>
      </c>
      <c r="I188" s="3" t="inlineStr">
        <is>
          <t>false</t>
        </is>
      </c>
      <c r="J188" s="3" t="n">
        <v>1</v>
      </c>
      <c r="K188" s="3" t="n">
        <v>2662</v>
      </c>
      <c r="L188" s="3" t="n">
        <v>8</v>
      </c>
      <c r="M188" s="5" t="n">
        <v>1.5</v>
      </c>
      <c r="N188" s="3" t="n">
        <v>1</v>
      </c>
      <c r="O188" s="3" t="n">
        <v>9</v>
      </c>
      <c r="P188" s="6">
        <f>LOWER(TRIM(C188))</f>
        <v/>
      </c>
      <c r="Q188" s="6">
        <f>IF(I188="true",1,0)</f>
        <v/>
      </c>
      <c r="R188" s="7">
        <f>IF(K188="","",K188)</f>
        <v/>
      </c>
      <c r="S188" s="6">
        <f>IF(OR(H188="",H188&lt;8,H188&gt;72),"",J188)</f>
        <v/>
      </c>
      <c r="T188" s="6">
        <f>IF(OR(P188="lyrics",P188="instrumental"),1,IF(AND(P188="none",COUNTIFS($B$2:$B$479,B188,$P$2:$P$479,"none")&gt;=3),1,0))</f>
        <v/>
      </c>
    </row>
    <row r="189">
      <c r="A189" s="8" t="n">
        <v>65</v>
      </c>
      <c r="B189" s="9" t="inlineStr">
        <is>
          <t>Participant 6</t>
        </is>
      </c>
      <c r="C189" s="9" t="inlineStr">
        <is>
          <t>lyrics</t>
        </is>
      </c>
      <c r="D189" s="9" t="inlineStr">
        <is>
          <t>2026-10-11T19:51:41.647Z</t>
        </is>
      </c>
      <c r="E189" s="8" t="n">
        <v>2</v>
      </c>
      <c r="F189" s="9" t="inlineStr">
        <is>
          <t>8 8 1 1 6 4 5 2</t>
        </is>
      </c>
      <c r="G189" s="8" t="n">
        <v>35</v>
      </c>
      <c r="H189" s="8" t="n">
        <v>35</v>
      </c>
      <c r="I189" s="8" t="inlineStr">
        <is>
          <t>true</t>
        </is>
      </c>
      <c r="J189" s="8" t="n">
        <v>0</v>
      </c>
      <c r="K189" s="8" t="n">
        <v>3542</v>
      </c>
      <c r="L189" s="8" t="n">
        <v>8</v>
      </c>
      <c r="M189" s="10" t="n">
        <v>1.5</v>
      </c>
      <c r="N189" s="8" t="n">
        <v>1</v>
      </c>
      <c r="O189" s="8" t="n">
        <v>9</v>
      </c>
      <c r="P189" s="6">
        <f>LOWER(TRIM(C189))</f>
        <v/>
      </c>
      <c r="Q189" s="6">
        <f>IF(I189="true",1,0)</f>
        <v/>
      </c>
      <c r="R189" s="7">
        <f>IF(K189="","",K189)</f>
        <v/>
      </c>
      <c r="S189" s="6">
        <f>IF(OR(H189="",H189&lt;8,H189&gt;72),"",J189)</f>
        <v/>
      </c>
      <c r="T189" s="6">
        <f>IF(OR(P189="lyrics",P189="instrumental"),1,IF(AND(P189="none",COUNTIFS($B$2:$B$479,B189,$P$2:$P$479,"none")&gt;=3),1,0))</f>
        <v/>
      </c>
    </row>
    <row r="190">
      <c r="A190" s="3" t="n">
        <v>65</v>
      </c>
      <c r="B190" s="4" t="inlineStr">
        <is>
          <t>Participant 6</t>
        </is>
      </c>
      <c r="C190" s="4" t="inlineStr">
        <is>
          <t>lyrics</t>
        </is>
      </c>
      <c r="D190" s="4" t="inlineStr">
        <is>
          <t>2026-10-11T19:51:41.647Z</t>
        </is>
      </c>
      <c r="E190" s="3" t="n">
        <v>3</v>
      </c>
      <c r="F190" s="4" t="inlineStr">
        <is>
          <t>3 4 3 5 6 2 7 3</t>
        </is>
      </c>
      <c r="G190" s="3" t="n">
        <v>33</v>
      </c>
      <c r="H190" s="3" t="n">
        <v>38</v>
      </c>
      <c r="I190" s="3" t="inlineStr">
        <is>
          <t>false</t>
        </is>
      </c>
      <c r="J190" s="3" t="n">
        <v>5</v>
      </c>
      <c r="K190" s="3" t="n">
        <v>2618</v>
      </c>
      <c r="L190" s="3" t="n">
        <v>8</v>
      </c>
      <c r="M190" s="5" t="n">
        <v>1.5</v>
      </c>
      <c r="N190" s="3" t="n">
        <v>1</v>
      </c>
      <c r="O190" s="3" t="n">
        <v>9</v>
      </c>
      <c r="P190" s="6">
        <f>LOWER(TRIM(C190))</f>
        <v/>
      </c>
      <c r="Q190" s="6">
        <f>IF(I190="true",1,0)</f>
        <v/>
      </c>
      <c r="R190" s="7">
        <f>IF(K190="","",K190)</f>
        <v/>
      </c>
      <c r="S190" s="6">
        <f>IF(OR(H190="",H190&lt;8,H190&gt;72),"",J190)</f>
        <v/>
      </c>
      <c r="T190" s="6">
        <f>IF(OR(P190="lyrics",P190="instrumental"),1,IF(AND(P190="none",COUNTIFS($B$2:$B$479,B190,$P$2:$P$479,"none")&gt;=3),1,0))</f>
        <v/>
      </c>
    </row>
    <row r="191">
      <c r="A191" s="8" t="n">
        <v>66</v>
      </c>
      <c r="B191" s="9" t="inlineStr">
        <is>
          <t>Participant 6</t>
        </is>
      </c>
      <c r="C191" s="9" t="inlineStr">
        <is>
          <t>instrumental</t>
        </is>
      </c>
      <c r="D191" s="9" t="inlineStr">
        <is>
          <t>2026-10-11T19:53:41.896Z</t>
        </is>
      </c>
      <c r="E191" s="8" t="n">
        <v>1</v>
      </c>
      <c r="F191" s="9" t="inlineStr">
        <is>
          <t>9 8 6 8 7 9 5 1</t>
        </is>
      </c>
      <c r="G191" s="8" t="n">
        <v>53</v>
      </c>
      <c r="H191" s="8" t="n">
        <v>53</v>
      </c>
      <c r="I191" s="8" t="inlineStr">
        <is>
          <t>true</t>
        </is>
      </c>
      <c r="J191" s="8" t="n">
        <v>0</v>
      </c>
      <c r="K191" s="8" t="n">
        <v>3633</v>
      </c>
      <c r="L191" s="8" t="n">
        <v>8</v>
      </c>
      <c r="M191" s="10" t="n">
        <v>1.5</v>
      </c>
      <c r="N191" s="8" t="n">
        <v>1</v>
      </c>
      <c r="O191" s="8" t="n">
        <v>9</v>
      </c>
      <c r="P191" s="6">
        <f>LOWER(TRIM(C191))</f>
        <v/>
      </c>
      <c r="Q191" s="6">
        <f>IF(I191="true",1,0)</f>
        <v/>
      </c>
      <c r="R191" s="7">
        <f>IF(K191="","",K191)</f>
        <v/>
      </c>
      <c r="S191" s="6">
        <f>IF(OR(H191="",H191&lt;8,H191&gt;72),"",J191)</f>
        <v/>
      </c>
      <c r="T191" s="6">
        <f>IF(OR(P191="lyrics",P191="instrumental"),1,IF(AND(P191="none",COUNTIFS($B$2:$B$479,B191,$P$2:$P$479,"none")&gt;=3),1,0))</f>
        <v/>
      </c>
    </row>
    <row r="192">
      <c r="A192" s="3" t="n">
        <v>66</v>
      </c>
      <c r="B192" s="4" t="inlineStr">
        <is>
          <t>Participant 6</t>
        </is>
      </c>
      <c r="C192" s="4" t="inlineStr">
        <is>
          <t>instrumental</t>
        </is>
      </c>
      <c r="D192" s="4" t="inlineStr">
        <is>
          <t>2026-10-11T19:53:41.896Z</t>
        </is>
      </c>
      <c r="E192" s="3" t="n">
        <v>2</v>
      </c>
      <c r="F192" s="4" t="inlineStr">
        <is>
          <t>2 9 9 3 1 3 2 8</t>
        </is>
      </c>
      <c r="G192" s="3" t="n">
        <v>37</v>
      </c>
      <c r="H192" s="3" t="n">
        <v>37</v>
      </c>
      <c r="I192" s="3" t="inlineStr">
        <is>
          <t>true</t>
        </is>
      </c>
      <c r="J192" s="3" t="n">
        <v>0</v>
      </c>
      <c r="K192" s="3" t="n">
        <v>2248</v>
      </c>
      <c r="L192" s="3" t="n">
        <v>8</v>
      </c>
      <c r="M192" s="5" t="n">
        <v>1.5</v>
      </c>
      <c r="N192" s="3" t="n">
        <v>1</v>
      </c>
      <c r="O192" s="3" t="n">
        <v>9</v>
      </c>
      <c r="P192" s="6">
        <f>LOWER(TRIM(C192))</f>
        <v/>
      </c>
      <c r="Q192" s="6">
        <f>IF(I192="true",1,0)</f>
        <v/>
      </c>
      <c r="R192" s="7">
        <f>IF(K192="","",K192)</f>
        <v/>
      </c>
      <c r="S192" s="6">
        <f>IF(OR(H192="",H192&lt;8,H192&gt;72),"",J192)</f>
        <v/>
      </c>
      <c r="T192" s="6">
        <f>IF(OR(P192="lyrics",P192="instrumental"),1,IF(AND(P192="none",COUNTIFS($B$2:$B$479,B192,$P$2:$P$479,"none")&gt;=3),1,0))</f>
        <v/>
      </c>
    </row>
    <row r="193">
      <c r="A193" s="8" t="n">
        <v>66</v>
      </c>
      <c r="B193" s="9" t="inlineStr">
        <is>
          <t>Participant 6</t>
        </is>
      </c>
      <c r="C193" s="9" t="inlineStr">
        <is>
          <t>instrumental</t>
        </is>
      </c>
      <c r="D193" s="9" t="inlineStr">
        <is>
          <t>2026-10-11T19:53:41.896Z</t>
        </is>
      </c>
      <c r="E193" s="8" t="n">
        <v>3</v>
      </c>
      <c r="F193" s="9" t="inlineStr">
        <is>
          <t>4 8 4 5 3 6 7 1</t>
        </is>
      </c>
      <c r="G193" s="8" t="n">
        <v>38</v>
      </c>
      <c r="H193" s="8" t="n">
        <v>38</v>
      </c>
      <c r="I193" s="8" t="inlineStr">
        <is>
          <t>true</t>
        </is>
      </c>
      <c r="J193" s="8" t="n">
        <v>0</v>
      </c>
      <c r="K193" s="8" t="n">
        <v>3031</v>
      </c>
      <c r="L193" s="8" t="n">
        <v>8</v>
      </c>
      <c r="M193" s="10" t="n">
        <v>1.5</v>
      </c>
      <c r="N193" s="8" t="n">
        <v>1</v>
      </c>
      <c r="O193" s="8" t="n">
        <v>9</v>
      </c>
      <c r="P193" s="6">
        <f>LOWER(TRIM(C193))</f>
        <v/>
      </c>
      <c r="Q193" s="6">
        <f>IF(I193="true",1,0)</f>
        <v/>
      </c>
      <c r="R193" s="7">
        <f>IF(K193="","",K193)</f>
        <v/>
      </c>
      <c r="S193" s="6">
        <f>IF(OR(H193="",H193&lt;8,H193&gt;72),"",J193)</f>
        <v/>
      </c>
      <c r="T193" s="6">
        <f>IF(OR(P193="lyrics",P193="instrumental"),1,IF(AND(P193="none",COUNTIFS($B$2:$B$479,B193,$P$2:$P$479,"none")&gt;=3),1,0))</f>
        <v/>
      </c>
    </row>
    <row r="194">
      <c r="A194" s="3" t="n">
        <v>67</v>
      </c>
      <c r="B194" s="4" t="inlineStr">
        <is>
          <t>Participant 6</t>
        </is>
      </c>
      <c r="C194" s="4" t="inlineStr">
        <is>
          <t>lyrics</t>
        </is>
      </c>
      <c r="D194" s="4" t="inlineStr">
        <is>
          <t>2026-10-11T19:54:55.587Z</t>
        </is>
      </c>
      <c r="E194" s="3" t="n">
        <v>1</v>
      </c>
      <c r="F194" s="4" t="inlineStr">
        <is>
          <t>4 1 5 2 8 8 4 6</t>
        </is>
      </c>
      <c r="G194" s="3" t="n">
        <v>38</v>
      </c>
      <c r="H194" s="3" t="n">
        <v>38</v>
      </c>
      <c r="I194" s="3" t="inlineStr">
        <is>
          <t>true</t>
        </is>
      </c>
      <c r="J194" s="3" t="n">
        <v>0</v>
      </c>
      <c r="K194" s="3" t="n">
        <v>1824</v>
      </c>
      <c r="L194" s="3" t="n">
        <v>8</v>
      </c>
      <c r="M194" s="5" t="n">
        <v>1.5</v>
      </c>
      <c r="N194" s="3" t="n">
        <v>1</v>
      </c>
      <c r="O194" s="3" t="n">
        <v>9</v>
      </c>
      <c r="P194" s="6">
        <f>LOWER(TRIM(C194))</f>
        <v/>
      </c>
      <c r="Q194" s="6">
        <f>IF(I194="true",1,0)</f>
        <v/>
      </c>
      <c r="R194" s="7">
        <f>IF(K194="","",K194)</f>
        <v/>
      </c>
      <c r="S194" s="6">
        <f>IF(OR(H194="",H194&lt;8,H194&gt;72),"",J194)</f>
        <v/>
      </c>
      <c r="T194" s="6">
        <f>IF(OR(P194="lyrics",P194="instrumental"),1,IF(AND(P194="none",COUNTIFS($B$2:$B$479,B194,$P$2:$P$479,"none")&gt;=3),1,0))</f>
        <v/>
      </c>
    </row>
    <row r="195">
      <c r="A195" s="8" t="n">
        <v>67</v>
      </c>
      <c r="B195" s="9" t="inlineStr">
        <is>
          <t>Participant 6</t>
        </is>
      </c>
      <c r="C195" s="9" t="inlineStr">
        <is>
          <t>lyrics</t>
        </is>
      </c>
      <c r="D195" s="9" t="inlineStr">
        <is>
          <t>2026-10-11T19:54:55.587Z</t>
        </is>
      </c>
      <c r="E195" s="8" t="n">
        <v>2</v>
      </c>
      <c r="F195" s="9" t="inlineStr">
        <is>
          <t>5 3 1 2 5 3 4 3</t>
        </is>
      </c>
      <c r="G195" s="8" t="n">
        <v>26</v>
      </c>
      <c r="H195" s="8" t="n">
        <v>27</v>
      </c>
      <c r="I195" s="8" t="inlineStr">
        <is>
          <t>false</t>
        </is>
      </c>
      <c r="J195" s="8" t="n">
        <v>1</v>
      </c>
      <c r="K195" s="8" t="n">
        <v>2571</v>
      </c>
      <c r="L195" s="8" t="n">
        <v>8</v>
      </c>
      <c r="M195" s="10" t="n">
        <v>1.5</v>
      </c>
      <c r="N195" s="8" t="n">
        <v>1</v>
      </c>
      <c r="O195" s="8" t="n">
        <v>9</v>
      </c>
      <c r="P195" s="6">
        <f>LOWER(TRIM(C195))</f>
        <v/>
      </c>
      <c r="Q195" s="6">
        <f>IF(I195="true",1,0)</f>
        <v/>
      </c>
      <c r="R195" s="7">
        <f>IF(K195="","",K195)</f>
        <v/>
      </c>
      <c r="S195" s="6">
        <f>IF(OR(H195="",H195&lt;8,H195&gt;72),"",J195)</f>
        <v/>
      </c>
      <c r="T195" s="6">
        <f>IF(OR(P195="lyrics",P195="instrumental"),1,IF(AND(P195="none",COUNTIFS($B$2:$B$479,B195,$P$2:$P$479,"none")&gt;=3),1,0))</f>
        <v/>
      </c>
    </row>
    <row r="196">
      <c r="A196" s="3" t="n">
        <v>67</v>
      </c>
      <c r="B196" s="4" t="inlineStr">
        <is>
          <t>Participant 6</t>
        </is>
      </c>
      <c r="C196" s="4" t="inlineStr">
        <is>
          <t>lyrics</t>
        </is>
      </c>
      <c r="D196" s="4" t="inlineStr">
        <is>
          <t>2026-10-11T19:54:55.587Z</t>
        </is>
      </c>
      <c r="E196" s="3" t="n">
        <v>3</v>
      </c>
      <c r="F196" s="4" t="inlineStr">
        <is>
          <t>5 9 6 3 2 5 6 9</t>
        </is>
      </c>
      <c r="G196" s="3" t="n">
        <v>45</v>
      </c>
      <c r="H196" s="3" t="n">
        <v>45</v>
      </c>
      <c r="I196" s="3" t="inlineStr">
        <is>
          <t>true</t>
        </is>
      </c>
      <c r="J196" s="3" t="n">
        <v>0</v>
      </c>
      <c r="K196" s="3" t="n">
        <v>4341</v>
      </c>
      <c r="L196" s="3" t="n">
        <v>8</v>
      </c>
      <c r="M196" s="5" t="n">
        <v>1.5</v>
      </c>
      <c r="N196" s="3" t="n">
        <v>1</v>
      </c>
      <c r="O196" s="3" t="n">
        <v>9</v>
      </c>
      <c r="P196" s="6">
        <f>LOWER(TRIM(C196))</f>
        <v/>
      </c>
      <c r="Q196" s="6">
        <f>IF(I196="true",1,0)</f>
        <v/>
      </c>
      <c r="R196" s="7">
        <f>IF(K196="","",K196)</f>
        <v/>
      </c>
      <c r="S196" s="6">
        <f>IF(OR(H196="",H196&lt;8,H196&gt;72),"",J196)</f>
        <v/>
      </c>
      <c r="T196" s="6">
        <f>IF(OR(P196="lyrics",P196="instrumental"),1,IF(AND(P196="none",COUNTIFS($B$2:$B$479,B196,$P$2:$P$479,"none")&gt;=3),1,0))</f>
        <v/>
      </c>
    </row>
    <row r="197">
      <c r="A197" s="8" t="n">
        <v>68</v>
      </c>
      <c r="B197" s="9" t="inlineStr">
        <is>
          <t>Participant 7</t>
        </is>
      </c>
      <c r="C197" s="9" t="inlineStr">
        <is>
          <t>none</t>
        </is>
      </c>
      <c r="D197" s="9" t="inlineStr">
        <is>
          <t>2026-10-11T19:57:21.231Z</t>
        </is>
      </c>
      <c r="E197" s="8" t="n">
        <v>1</v>
      </c>
      <c r="F197" s="9" t="inlineStr">
        <is>
          <t>8 8 9 1 8 6 2 9</t>
        </is>
      </c>
      <c r="G197" s="8" t="n">
        <v>51</v>
      </c>
      <c r="H197" s="8" t="n">
        <v>52</v>
      </c>
      <c r="I197" s="8" t="inlineStr">
        <is>
          <t>false</t>
        </is>
      </c>
      <c r="J197" s="8" t="n">
        <v>1</v>
      </c>
      <c r="K197" s="8" t="n">
        <v>2684</v>
      </c>
      <c r="L197" s="8" t="n">
        <v>8</v>
      </c>
      <c r="M197" s="10" t="n">
        <v>1.5</v>
      </c>
      <c r="N197" s="8" t="n">
        <v>1</v>
      </c>
      <c r="O197" s="8" t="n">
        <v>9</v>
      </c>
      <c r="P197" s="6">
        <f>LOWER(TRIM(C197))</f>
        <v/>
      </c>
      <c r="Q197" s="6">
        <f>IF(I197="true",1,0)</f>
        <v/>
      </c>
      <c r="R197" s="7">
        <f>IF(K197="","",K197)</f>
        <v/>
      </c>
      <c r="S197" s="6">
        <f>IF(OR(H197="",H197&lt;8,H197&gt;72),"",J197)</f>
        <v/>
      </c>
      <c r="T197" s="6">
        <f>IF(OR(P197="lyrics",P197="instrumental"),1,IF(AND(P197="none",COUNTIFS($B$2:$B$479,B197,$P$2:$P$479,"none")&gt;=3),1,0))</f>
        <v/>
      </c>
    </row>
    <row r="198">
      <c r="A198" s="3" t="n">
        <v>68</v>
      </c>
      <c r="B198" s="4" t="inlineStr">
        <is>
          <t>Participant 7</t>
        </is>
      </c>
      <c r="C198" s="4" t="inlineStr">
        <is>
          <t>none</t>
        </is>
      </c>
      <c r="D198" s="4" t="inlineStr">
        <is>
          <t>2026-10-11T19:57:21.231Z</t>
        </is>
      </c>
      <c r="E198" s="3" t="n">
        <v>2</v>
      </c>
      <c r="F198" s="4" t="inlineStr">
        <is>
          <t>9 3 8 7 4 5 9 4</t>
        </is>
      </c>
      <c r="G198" s="3" t="n">
        <v>49</v>
      </c>
      <c r="H198" s="3" t="n">
        <v>48</v>
      </c>
      <c r="I198" s="3" t="inlineStr">
        <is>
          <t>false</t>
        </is>
      </c>
      <c r="J198" s="3" t="n">
        <v>1</v>
      </c>
      <c r="K198" s="3" t="n">
        <v>3402</v>
      </c>
      <c r="L198" s="3" t="n">
        <v>8</v>
      </c>
      <c r="M198" s="5" t="n">
        <v>1.5</v>
      </c>
      <c r="N198" s="3" t="n">
        <v>1</v>
      </c>
      <c r="O198" s="3" t="n">
        <v>9</v>
      </c>
      <c r="P198" s="6">
        <f>LOWER(TRIM(C198))</f>
        <v/>
      </c>
      <c r="Q198" s="6">
        <f>IF(I198="true",1,0)</f>
        <v/>
      </c>
      <c r="R198" s="7">
        <f>IF(K198="","",K198)</f>
        <v/>
      </c>
      <c r="S198" s="6">
        <f>IF(OR(H198="",H198&lt;8,H198&gt;72),"",J198)</f>
        <v/>
      </c>
      <c r="T198" s="6">
        <f>IF(OR(P198="lyrics",P198="instrumental"),1,IF(AND(P198="none",COUNTIFS($B$2:$B$479,B198,$P$2:$P$479,"none")&gt;=3),1,0))</f>
        <v/>
      </c>
    </row>
    <row r="199">
      <c r="A199" s="8" t="n">
        <v>69</v>
      </c>
      <c r="B199" s="9" t="inlineStr">
        <is>
          <t>Participant 7</t>
        </is>
      </c>
      <c r="C199" s="9" t="inlineStr">
        <is>
          <t>lyrics</t>
        </is>
      </c>
      <c r="D199" s="9" t="inlineStr">
        <is>
          <t>2026-10-11T19:58:44.137Z</t>
        </is>
      </c>
      <c r="E199" s="8" t="n">
        <v>1</v>
      </c>
      <c r="F199" s="9" t="inlineStr">
        <is>
          <t>7 4 6 1 4 3 7 4</t>
        </is>
      </c>
      <c r="G199" s="8" t="n">
        <v>36</v>
      </c>
      <c r="H199" s="8" t="n">
        <v>36</v>
      </c>
      <c r="I199" s="8" t="inlineStr">
        <is>
          <t>true</t>
        </is>
      </c>
      <c r="J199" s="8" t="n">
        <v>0</v>
      </c>
      <c r="K199" s="8" t="n">
        <v>4814</v>
      </c>
      <c r="L199" s="8" t="n">
        <v>8</v>
      </c>
      <c r="M199" s="10" t="n">
        <v>1.5</v>
      </c>
      <c r="N199" s="8" t="n">
        <v>1</v>
      </c>
      <c r="O199" s="8" t="n">
        <v>9</v>
      </c>
      <c r="P199" s="6">
        <f>LOWER(TRIM(C199))</f>
        <v/>
      </c>
      <c r="Q199" s="6">
        <f>IF(I199="true",1,0)</f>
        <v/>
      </c>
      <c r="R199" s="7">
        <f>IF(K199="","",K199)</f>
        <v/>
      </c>
      <c r="S199" s="6">
        <f>IF(OR(H199="",H199&lt;8,H199&gt;72),"",J199)</f>
        <v/>
      </c>
      <c r="T199" s="6">
        <f>IF(OR(P199="lyrics",P199="instrumental"),1,IF(AND(P199="none",COUNTIFS($B$2:$B$479,B199,$P$2:$P$479,"none")&gt;=3),1,0))</f>
        <v/>
      </c>
    </row>
    <row r="200">
      <c r="A200" s="3" t="n">
        <v>69</v>
      </c>
      <c r="B200" s="4" t="inlineStr">
        <is>
          <t>Participant 7</t>
        </is>
      </c>
      <c r="C200" s="4" t="inlineStr">
        <is>
          <t>lyrics</t>
        </is>
      </c>
      <c r="D200" s="4" t="inlineStr">
        <is>
          <t>2026-10-11T19:58:44.137Z</t>
        </is>
      </c>
      <c r="E200" s="3" t="n">
        <v>2</v>
      </c>
      <c r="F200" s="4" t="inlineStr">
        <is>
          <t>5 4 6 7 4 2 5 8</t>
        </is>
      </c>
      <c r="G200" s="3" t="n">
        <v>41</v>
      </c>
      <c r="H200" s="3" t="n">
        <v>42</v>
      </c>
      <c r="I200" s="3" t="inlineStr">
        <is>
          <t>false</t>
        </is>
      </c>
      <c r="J200" s="3" t="n">
        <v>1</v>
      </c>
      <c r="K200" s="3" t="n">
        <v>2169</v>
      </c>
      <c r="L200" s="3" t="n">
        <v>8</v>
      </c>
      <c r="M200" s="5" t="n">
        <v>1.5</v>
      </c>
      <c r="N200" s="3" t="n">
        <v>1</v>
      </c>
      <c r="O200" s="3" t="n">
        <v>9</v>
      </c>
      <c r="P200" s="6">
        <f>LOWER(TRIM(C200))</f>
        <v/>
      </c>
      <c r="Q200" s="6">
        <f>IF(I200="true",1,0)</f>
        <v/>
      </c>
      <c r="R200" s="7">
        <f>IF(K200="","",K200)</f>
        <v/>
      </c>
      <c r="S200" s="6">
        <f>IF(OR(H200="",H200&lt;8,H200&gt;72),"",J200)</f>
        <v/>
      </c>
      <c r="T200" s="6">
        <f>IF(OR(P200="lyrics",P200="instrumental"),1,IF(AND(P200="none",COUNTIFS($B$2:$B$479,B200,$P$2:$P$479,"none")&gt;=3),1,0))</f>
        <v/>
      </c>
    </row>
    <row r="201">
      <c r="A201" s="8" t="n">
        <v>69</v>
      </c>
      <c r="B201" s="9" t="inlineStr">
        <is>
          <t>Participant 7</t>
        </is>
      </c>
      <c r="C201" s="9" t="inlineStr">
        <is>
          <t>lyrics</t>
        </is>
      </c>
      <c r="D201" s="9" t="inlineStr">
        <is>
          <t>2026-10-11T19:58:44.137Z</t>
        </is>
      </c>
      <c r="E201" s="8" t="n">
        <v>3</v>
      </c>
      <c r="F201" s="9" t="inlineStr">
        <is>
          <t>2 8 6 3 2 5 7 6</t>
        </is>
      </c>
      <c r="G201" s="8" t="n">
        <v>39</v>
      </c>
      <c r="H201" s="8" t="n">
        <v>39</v>
      </c>
      <c r="I201" s="8" t="inlineStr">
        <is>
          <t>true</t>
        </is>
      </c>
      <c r="J201" s="8" t="n">
        <v>0</v>
      </c>
      <c r="K201" s="8" t="n">
        <v>3457</v>
      </c>
      <c r="L201" s="8" t="n">
        <v>8</v>
      </c>
      <c r="M201" s="10" t="n">
        <v>1.5</v>
      </c>
      <c r="N201" s="8" t="n">
        <v>1</v>
      </c>
      <c r="O201" s="8" t="n">
        <v>9</v>
      </c>
      <c r="P201" s="6">
        <f>LOWER(TRIM(C201))</f>
        <v/>
      </c>
      <c r="Q201" s="6">
        <f>IF(I201="true",1,0)</f>
        <v/>
      </c>
      <c r="R201" s="7">
        <f>IF(K201="","",K201)</f>
        <v/>
      </c>
      <c r="S201" s="6">
        <f>IF(OR(H201="",H201&lt;8,H201&gt;72),"",J201)</f>
        <v/>
      </c>
      <c r="T201" s="6">
        <f>IF(OR(P201="lyrics",P201="instrumental"),1,IF(AND(P201="none",COUNTIFS($B$2:$B$479,B201,$P$2:$P$479,"none")&gt;=3),1,0))</f>
        <v/>
      </c>
    </row>
    <row r="202">
      <c r="A202" s="3" t="n">
        <v>70</v>
      </c>
      <c r="B202" s="4" t="inlineStr">
        <is>
          <t>Participant 7</t>
        </is>
      </c>
      <c r="C202" s="4" t="inlineStr">
        <is>
          <t>instrumental</t>
        </is>
      </c>
      <c r="D202" s="4" t="inlineStr">
        <is>
          <t>2026-10-11T20:00:41.060Z</t>
        </is>
      </c>
      <c r="E202" s="3" t="n">
        <v>1</v>
      </c>
      <c r="F202" s="4" t="inlineStr">
        <is>
          <t>6 1 2 7 6 9 6 9</t>
        </is>
      </c>
      <c r="G202" s="3" t="n">
        <v>46</v>
      </c>
      <c r="H202" s="3" t="n">
        <v>45</v>
      </c>
      <c r="I202" s="3" t="inlineStr">
        <is>
          <t>false</t>
        </is>
      </c>
      <c r="J202" s="3" t="n">
        <v>1</v>
      </c>
      <c r="K202" s="3" t="n">
        <v>3193</v>
      </c>
      <c r="L202" s="3" t="n">
        <v>8</v>
      </c>
      <c r="M202" s="5" t="n">
        <v>1.5</v>
      </c>
      <c r="N202" s="3" t="n">
        <v>1</v>
      </c>
      <c r="O202" s="3" t="n">
        <v>9</v>
      </c>
      <c r="P202" s="6">
        <f>LOWER(TRIM(C202))</f>
        <v/>
      </c>
      <c r="Q202" s="6">
        <f>IF(I202="true",1,0)</f>
        <v/>
      </c>
      <c r="R202" s="7">
        <f>IF(K202="","",K202)</f>
        <v/>
      </c>
      <c r="S202" s="6">
        <f>IF(OR(H202="",H202&lt;8,H202&gt;72),"",J202)</f>
        <v/>
      </c>
      <c r="T202" s="6">
        <f>IF(OR(P202="lyrics",P202="instrumental"),1,IF(AND(P202="none",COUNTIFS($B$2:$B$479,B202,$P$2:$P$479,"none")&gt;=3),1,0))</f>
        <v/>
      </c>
    </row>
    <row r="203">
      <c r="A203" s="8" t="n">
        <v>70</v>
      </c>
      <c r="B203" s="9" t="inlineStr">
        <is>
          <t>Participant 7</t>
        </is>
      </c>
      <c r="C203" s="9" t="inlineStr">
        <is>
          <t>instrumental</t>
        </is>
      </c>
      <c r="D203" s="9" t="inlineStr">
        <is>
          <t>2026-10-11T20:00:41.060Z</t>
        </is>
      </c>
      <c r="E203" s="8" t="n">
        <v>2</v>
      </c>
      <c r="F203" s="9" t="inlineStr">
        <is>
          <t>1 7 2 9 9 7 9 4</t>
        </is>
      </c>
      <c r="G203" s="8" t="n">
        <v>48</v>
      </c>
      <c r="H203" s="8" t="n">
        <v>48</v>
      </c>
      <c r="I203" s="8" t="inlineStr">
        <is>
          <t>true</t>
        </is>
      </c>
      <c r="J203" s="8" t="n">
        <v>0</v>
      </c>
      <c r="K203" s="8" t="n">
        <v>2239</v>
      </c>
      <c r="L203" s="8" t="n">
        <v>8</v>
      </c>
      <c r="M203" s="10" t="n">
        <v>1.5</v>
      </c>
      <c r="N203" s="8" t="n">
        <v>1</v>
      </c>
      <c r="O203" s="8" t="n">
        <v>9</v>
      </c>
      <c r="P203" s="6">
        <f>LOWER(TRIM(C203))</f>
        <v/>
      </c>
      <c r="Q203" s="6">
        <f>IF(I203="true",1,0)</f>
        <v/>
      </c>
      <c r="R203" s="7">
        <f>IF(K203="","",K203)</f>
        <v/>
      </c>
      <c r="S203" s="6">
        <f>IF(OR(H203="",H203&lt;8,H203&gt;72),"",J203)</f>
        <v/>
      </c>
      <c r="T203" s="6">
        <f>IF(OR(P203="lyrics",P203="instrumental"),1,IF(AND(P203="none",COUNTIFS($B$2:$B$479,B203,$P$2:$P$479,"none")&gt;=3),1,0))</f>
        <v/>
      </c>
    </row>
    <row r="204">
      <c r="A204" s="3" t="n">
        <v>70</v>
      </c>
      <c r="B204" s="4" t="inlineStr">
        <is>
          <t>Participant 7</t>
        </is>
      </c>
      <c r="C204" s="4" t="inlineStr">
        <is>
          <t>instrumental</t>
        </is>
      </c>
      <c r="D204" s="4" t="inlineStr">
        <is>
          <t>2026-10-11T20:00:41.060Z</t>
        </is>
      </c>
      <c r="E204" s="3" t="n">
        <v>3</v>
      </c>
      <c r="F204" s="4" t="inlineStr">
        <is>
          <t>7 1 9 4 9 7 5 1</t>
        </is>
      </c>
      <c r="G204" s="3" t="n">
        <v>43</v>
      </c>
      <c r="H204" s="3" t="n">
        <v>44</v>
      </c>
      <c r="I204" s="3" t="inlineStr">
        <is>
          <t>false</t>
        </is>
      </c>
      <c r="J204" s="3" t="n">
        <v>1</v>
      </c>
      <c r="K204" s="3" t="n">
        <v>4049</v>
      </c>
      <c r="L204" s="3" t="n">
        <v>8</v>
      </c>
      <c r="M204" s="5" t="n">
        <v>1.5</v>
      </c>
      <c r="N204" s="3" t="n">
        <v>1</v>
      </c>
      <c r="O204" s="3" t="n">
        <v>9</v>
      </c>
      <c r="P204" s="6">
        <f>LOWER(TRIM(C204))</f>
        <v/>
      </c>
      <c r="Q204" s="6">
        <f>IF(I204="true",1,0)</f>
        <v/>
      </c>
      <c r="R204" s="7">
        <f>IF(K204="","",K204)</f>
        <v/>
      </c>
      <c r="S204" s="6">
        <f>IF(OR(H204="",H204&lt;8,H204&gt;72),"",J204)</f>
        <v/>
      </c>
      <c r="T204" s="6">
        <f>IF(OR(P204="lyrics",P204="instrumental"),1,IF(AND(P204="none",COUNTIFS($B$2:$B$479,B204,$P$2:$P$479,"none")&gt;=3),1,0))</f>
        <v/>
      </c>
    </row>
    <row r="205">
      <c r="A205" s="8" t="n">
        <v>71</v>
      </c>
      <c r="B205" s="9" t="inlineStr">
        <is>
          <t>Participant 7</t>
        </is>
      </c>
      <c r="C205" s="9" t="inlineStr">
        <is>
          <t>instrumental</t>
        </is>
      </c>
      <c r="D205" s="9" t="inlineStr">
        <is>
          <t>2026-10-11T20:02:55.601Z</t>
        </is>
      </c>
      <c r="E205" s="8" t="n">
        <v>1</v>
      </c>
      <c r="F205" s="9" t="inlineStr">
        <is>
          <t>7 2 5 9 1 3 4 5</t>
        </is>
      </c>
      <c r="G205" s="8" t="n">
        <v>36</v>
      </c>
      <c r="H205" s="8" t="n">
        <v>36</v>
      </c>
      <c r="I205" s="8" t="inlineStr">
        <is>
          <t>true</t>
        </is>
      </c>
      <c r="J205" s="8" t="n">
        <v>0</v>
      </c>
      <c r="K205" s="8" t="n">
        <v>2653</v>
      </c>
      <c r="L205" s="8" t="n">
        <v>8</v>
      </c>
      <c r="M205" s="10" t="n">
        <v>1.5</v>
      </c>
      <c r="N205" s="8" t="n">
        <v>1</v>
      </c>
      <c r="O205" s="8" t="n">
        <v>9</v>
      </c>
      <c r="P205" s="6">
        <f>LOWER(TRIM(C205))</f>
        <v/>
      </c>
      <c r="Q205" s="6">
        <f>IF(I205="true",1,0)</f>
        <v/>
      </c>
      <c r="R205" s="7">
        <f>IF(K205="","",K205)</f>
        <v/>
      </c>
      <c r="S205" s="6">
        <f>IF(OR(H205="",H205&lt;8,H205&gt;72),"",J205)</f>
        <v/>
      </c>
      <c r="T205" s="6">
        <f>IF(OR(P205="lyrics",P205="instrumental"),1,IF(AND(P205="none",COUNTIFS($B$2:$B$479,B205,$P$2:$P$479,"none")&gt;=3),1,0))</f>
        <v/>
      </c>
    </row>
    <row r="206">
      <c r="A206" s="3" t="n">
        <v>71</v>
      </c>
      <c r="B206" s="4" t="inlineStr">
        <is>
          <t>Participant 7</t>
        </is>
      </c>
      <c r="C206" s="4" t="inlineStr">
        <is>
          <t>instrumental</t>
        </is>
      </c>
      <c r="D206" s="4" t="inlineStr">
        <is>
          <t>2026-10-11T20:02:55.601Z</t>
        </is>
      </c>
      <c r="E206" s="3" t="n">
        <v>2</v>
      </c>
      <c r="F206" s="4" t="inlineStr">
        <is>
          <t>1 7 2 5 7 2 4 1</t>
        </is>
      </c>
      <c r="G206" s="3" t="n">
        <v>29</v>
      </c>
      <c r="H206" s="3" t="n">
        <v>27</v>
      </c>
      <c r="I206" s="3" t="inlineStr">
        <is>
          <t>false</t>
        </is>
      </c>
      <c r="J206" s="3" t="n">
        <v>2</v>
      </c>
      <c r="K206" s="3" t="n">
        <v>2014</v>
      </c>
      <c r="L206" s="3" t="n">
        <v>8</v>
      </c>
      <c r="M206" s="5" t="n">
        <v>1.5</v>
      </c>
      <c r="N206" s="3" t="n">
        <v>1</v>
      </c>
      <c r="O206" s="3" t="n">
        <v>9</v>
      </c>
      <c r="P206" s="6">
        <f>LOWER(TRIM(C206))</f>
        <v/>
      </c>
      <c r="Q206" s="6">
        <f>IF(I206="true",1,0)</f>
        <v/>
      </c>
      <c r="R206" s="7">
        <f>IF(K206="","",K206)</f>
        <v/>
      </c>
      <c r="S206" s="6">
        <f>IF(OR(H206="",H206&lt;8,H206&gt;72),"",J206)</f>
        <v/>
      </c>
      <c r="T206" s="6">
        <f>IF(OR(P206="lyrics",P206="instrumental"),1,IF(AND(P206="none",COUNTIFS($B$2:$B$479,B206,$P$2:$P$479,"none")&gt;=3),1,0))</f>
        <v/>
      </c>
    </row>
    <row r="207">
      <c r="A207" s="8" t="n">
        <v>71</v>
      </c>
      <c r="B207" s="9" t="inlineStr">
        <is>
          <t>Participant 7</t>
        </is>
      </c>
      <c r="C207" s="9" t="inlineStr">
        <is>
          <t>instrumental</t>
        </is>
      </c>
      <c r="D207" s="9" t="inlineStr">
        <is>
          <t>2026-10-11T20:02:55.601Z</t>
        </is>
      </c>
      <c r="E207" s="8" t="n">
        <v>3</v>
      </c>
      <c r="F207" s="9" t="inlineStr">
        <is>
          <t>5 8 3 5 6 9 2 2</t>
        </is>
      </c>
      <c r="G207" s="8" t="n">
        <v>40</v>
      </c>
      <c r="H207" s="8" t="n">
        <v>41</v>
      </c>
      <c r="I207" s="8" t="inlineStr">
        <is>
          <t>false</t>
        </is>
      </c>
      <c r="J207" s="8" t="n">
        <v>1</v>
      </c>
      <c r="K207" s="8" t="n">
        <v>2361</v>
      </c>
      <c r="L207" s="8" t="n">
        <v>8</v>
      </c>
      <c r="M207" s="10" t="n">
        <v>1.5</v>
      </c>
      <c r="N207" s="8" t="n">
        <v>1</v>
      </c>
      <c r="O207" s="8" t="n">
        <v>9</v>
      </c>
      <c r="P207" s="6">
        <f>LOWER(TRIM(C207))</f>
        <v/>
      </c>
      <c r="Q207" s="6">
        <f>IF(I207="true",1,0)</f>
        <v/>
      </c>
      <c r="R207" s="7">
        <f>IF(K207="","",K207)</f>
        <v/>
      </c>
      <c r="S207" s="6">
        <f>IF(OR(H207="",H207&lt;8,H207&gt;72),"",J207)</f>
        <v/>
      </c>
      <c r="T207" s="6">
        <f>IF(OR(P207="lyrics",P207="instrumental"),1,IF(AND(P207="none",COUNTIFS($B$2:$B$479,B207,$P$2:$P$479,"none")&gt;=3),1,0))</f>
        <v/>
      </c>
    </row>
    <row r="208">
      <c r="A208" s="3" t="n">
        <v>72</v>
      </c>
      <c r="B208" s="4" t="inlineStr">
        <is>
          <t>Participant 7</t>
        </is>
      </c>
      <c r="C208" s="4" t="inlineStr">
        <is>
          <t>lyrics</t>
        </is>
      </c>
      <c r="D208" s="4" t="inlineStr">
        <is>
          <t>2026-10-11T20:04:42.616Z</t>
        </is>
      </c>
      <c r="E208" s="3" t="n">
        <v>1</v>
      </c>
      <c r="F208" s="4" t="inlineStr">
        <is>
          <t>5 7 7 6 9 8 9 9</t>
        </is>
      </c>
      <c r="G208" s="3" t="n">
        <v>60</v>
      </c>
      <c r="H208" s="3" t="n">
        <v>63</v>
      </c>
      <c r="I208" s="3" t="inlineStr">
        <is>
          <t>false</t>
        </is>
      </c>
      <c r="J208" s="3" t="n">
        <v>3</v>
      </c>
      <c r="K208" s="3" t="n">
        <v>2726</v>
      </c>
      <c r="L208" s="3" t="n">
        <v>8</v>
      </c>
      <c r="M208" s="5" t="n">
        <v>1.5</v>
      </c>
      <c r="N208" s="3" t="n">
        <v>1</v>
      </c>
      <c r="O208" s="3" t="n">
        <v>9</v>
      </c>
      <c r="P208" s="6">
        <f>LOWER(TRIM(C208))</f>
        <v/>
      </c>
      <c r="Q208" s="6">
        <f>IF(I208="true",1,0)</f>
        <v/>
      </c>
      <c r="R208" s="7">
        <f>IF(K208="","",K208)</f>
        <v/>
      </c>
      <c r="S208" s="6">
        <f>IF(OR(H208="",H208&lt;8,H208&gt;72),"",J208)</f>
        <v/>
      </c>
      <c r="T208" s="6">
        <f>IF(OR(P208="lyrics",P208="instrumental"),1,IF(AND(P208="none",COUNTIFS($B$2:$B$479,B208,$P$2:$P$479,"none")&gt;=3),1,0))</f>
        <v/>
      </c>
    </row>
    <row r="209">
      <c r="A209" s="8" t="n">
        <v>72</v>
      </c>
      <c r="B209" s="9" t="inlineStr">
        <is>
          <t>Participant 7</t>
        </is>
      </c>
      <c r="C209" s="9" t="inlineStr">
        <is>
          <t>lyrics</t>
        </is>
      </c>
      <c r="D209" s="9" t="inlineStr">
        <is>
          <t>2026-10-11T20:04:42.616Z</t>
        </is>
      </c>
      <c r="E209" s="8" t="n">
        <v>2</v>
      </c>
      <c r="F209" s="9" t="inlineStr">
        <is>
          <t>9 3 9 3 2 3 9 5</t>
        </is>
      </c>
      <c r="G209" s="8" t="n">
        <v>43</v>
      </c>
      <c r="H209" s="8" t="n">
        <v>44</v>
      </c>
      <c r="I209" s="8" t="inlineStr">
        <is>
          <t>false</t>
        </is>
      </c>
      <c r="J209" s="8" t="n">
        <v>1</v>
      </c>
      <c r="K209" s="8" t="n">
        <v>4163</v>
      </c>
      <c r="L209" s="8" t="n">
        <v>8</v>
      </c>
      <c r="M209" s="10" t="n">
        <v>1.5</v>
      </c>
      <c r="N209" s="8" t="n">
        <v>1</v>
      </c>
      <c r="O209" s="8" t="n">
        <v>9</v>
      </c>
      <c r="P209" s="6">
        <f>LOWER(TRIM(C209))</f>
        <v/>
      </c>
      <c r="Q209" s="6">
        <f>IF(I209="true",1,0)</f>
        <v/>
      </c>
      <c r="R209" s="7">
        <f>IF(K209="","",K209)</f>
        <v/>
      </c>
      <c r="S209" s="6">
        <f>IF(OR(H209="",H209&lt;8,H209&gt;72),"",J209)</f>
        <v/>
      </c>
      <c r="T209" s="6">
        <f>IF(OR(P209="lyrics",P209="instrumental"),1,IF(AND(P209="none",COUNTIFS($B$2:$B$479,B209,$P$2:$P$479,"none")&gt;=3),1,0))</f>
        <v/>
      </c>
    </row>
    <row r="210">
      <c r="A210" s="3" t="n">
        <v>72</v>
      </c>
      <c r="B210" s="4" t="inlineStr">
        <is>
          <t>Participant 7</t>
        </is>
      </c>
      <c r="C210" s="4" t="inlineStr">
        <is>
          <t>lyrics</t>
        </is>
      </c>
      <c r="D210" s="4" t="inlineStr">
        <is>
          <t>2026-10-11T20:04:42.616Z</t>
        </is>
      </c>
      <c r="E210" s="3" t="n">
        <v>3</v>
      </c>
      <c r="F210" s="4" t="inlineStr">
        <is>
          <t>9 1 6 2 4 1 7 1</t>
        </is>
      </c>
      <c r="G210" s="3" t="n">
        <v>31</v>
      </c>
      <c r="H210" s="3" t="n">
        <v>31</v>
      </c>
      <c r="I210" s="3" t="inlineStr">
        <is>
          <t>true</t>
        </is>
      </c>
      <c r="J210" s="3" t="n">
        <v>0</v>
      </c>
      <c r="K210" s="3" t="n">
        <v>1442</v>
      </c>
      <c r="L210" s="3" t="n">
        <v>8</v>
      </c>
      <c r="M210" s="5" t="n">
        <v>1.5</v>
      </c>
      <c r="N210" s="3" t="n">
        <v>1</v>
      </c>
      <c r="O210" s="3" t="n">
        <v>9</v>
      </c>
      <c r="P210" s="6">
        <f>LOWER(TRIM(C210))</f>
        <v/>
      </c>
      <c r="Q210" s="6">
        <f>IF(I210="true",1,0)</f>
        <v/>
      </c>
      <c r="R210" s="7">
        <f>IF(K210="","",K210)</f>
        <v/>
      </c>
      <c r="S210" s="6">
        <f>IF(OR(H210="",H210&lt;8,H210&gt;72),"",J210)</f>
        <v/>
      </c>
      <c r="T210" s="6">
        <f>IF(OR(P210="lyrics",P210="instrumental"),1,IF(AND(P210="none",COUNTIFS($B$2:$B$479,B210,$P$2:$P$479,"none")&gt;=3),1,0))</f>
        <v/>
      </c>
    </row>
    <row r="211">
      <c r="A211" s="8" t="n">
        <v>73</v>
      </c>
      <c r="B211" s="9" t="inlineStr">
        <is>
          <t>Participant 7</t>
        </is>
      </c>
      <c r="C211" s="9" t="inlineStr">
        <is>
          <t>lyrics</t>
        </is>
      </c>
      <c r="D211" s="9" t="inlineStr">
        <is>
          <t>2026-10-11T20:07:18.623Z</t>
        </is>
      </c>
      <c r="E211" s="8" t="n">
        <v>1</v>
      </c>
      <c r="F211" s="9" t="inlineStr">
        <is>
          <t>2 1 9 7 4 7 2 8</t>
        </is>
      </c>
      <c r="G211" s="8" t="n">
        <v>40</v>
      </c>
      <c r="H211" s="8" t="n">
        <v>40</v>
      </c>
      <c r="I211" s="8" t="inlineStr">
        <is>
          <t>true</t>
        </is>
      </c>
      <c r="J211" s="8" t="n">
        <v>0</v>
      </c>
      <c r="K211" s="8" t="n">
        <v>3141</v>
      </c>
      <c r="L211" s="8" t="n">
        <v>8</v>
      </c>
      <c r="M211" s="10" t="n">
        <v>1.5</v>
      </c>
      <c r="N211" s="8" t="n">
        <v>1</v>
      </c>
      <c r="O211" s="8" t="n">
        <v>9</v>
      </c>
      <c r="P211" s="6">
        <f>LOWER(TRIM(C211))</f>
        <v/>
      </c>
      <c r="Q211" s="6">
        <f>IF(I211="true",1,0)</f>
        <v/>
      </c>
      <c r="R211" s="7">
        <f>IF(K211="","",K211)</f>
        <v/>
      </c>
      <c r="S211" s="6">
        <f>IF(OR(H211="",H211&lt;8,H211&gt;72),"",J211)</f>
        <v/>
      </c>
      <c r="T211" s="6">
        <f>IF(OR(P211="lyrics",P211="instrumental"),1,IF(AND(P211="none",COUNTIFS($B$2:$B$479,B211,$P$2:$P$479,"none")&gt;=3),1,0))</f>
        <v/>
      </c>
    </row>
    <row r="212">
      <c r="A212" s="3" t="n">
        <v>73</v>
      </c>
      <c r="B212" s="4" t="inlineStr">
        <is>
          <t>Participant 7</t>
        </is>
      </c>
      <c r="C212" s="4" t="inlineStr">
        <is>
          <t>lyrics</t>
        </is>
      </c>
      <c r="D212" s="4" t="inlineStr">
        <is>
          <t>2026-10-11T20:07:18.623Z</t>
        </is>
      </c>
      <c r="E212" s="3" t="n">
        <v>2</v>
      </c>
      <c r="F212" s="4" t="inlineStr">
        <is>
          <t>2 5 6 1 3 5 6 6</t>
        </is>
      </c>
      <c r="G212" s="3" t="n">
        <v>34</v>
      </c>
      <c r="H212" s="3" t="n">
        <v>34</v>
      </c>
      <c r="I212" s="3" t="inlineStr">
        <is>
          <t>true</t>
        </is>
      </c>
      <c r="J212" s="3" t="n">
        <v>0</v>
      </c>
      <c r="K212" s="3" t="n">
        <v>3335</v>
      </c>
      <c r="L212" s="3" t="n">
        <v>8</v>
      </c>
      <c r="M212" s="5" t="n">
        <v>1.5</v>
      </c>
      <c r="N212" s="3" t="n">
        <v>1</v>
      </c>
      <c r="O212" s="3" t="n">
        <v>9</v>
      </c>
      <c r="P212" s="6">
        <f>LOWER(TRIM(C212))</f>
        <v/>
      </c>
      <c r="Q212" s="6">
        <f>IF(I212="true",1,0)</f>
        <v/>
      </c>
      <c r="R212" s="7">
        <f>IF(K212="","",K212)</f>
        <v/>
      </c>
      <c r="S212" s="6">
        <f>IF(OR(H212="",H212&lt;8,H212&gt;72),"",J212)</f>
        <v/>
      </c>
      <c r="T212" s="6">
        <f>IF(OR(P212="lyrics",P212="instrumental"),1,IF(AND(P212="none",COUNTIFS($B$2:$B$479,B212,$P$2:$P$479,"none")&gt;=3),1,0))</f>
        <v/>
      </c>
    </row>
    <row r="213">
      <c r="A213" s="8" t="n">
        <v>73</v>
      </c>
      <c r="B213" s="9" t="inlineStr">
        <is>
          <t>Participant 7</t>
        </is>
      </c>
      <c r="C213" s="9" t="inlineStr">
        <is>
          <t>lyrics</t>
        </is>
      </c>
      <c r="D213" s="9" t="inlineStr">
        <is>
          <t>2026-10-11T20:07:18.623Z</t>
        </is>
      </c>
      <c r="E213" s="8" t="n">
        <v>3</v>
      </c>
      <c r="F213" s="9" t="inlineStr">
        <is>
          <t>1 9 1 2 3 9 6 3</t>
        </is>
      </c>
      <c r="G213" s="8" t="n">
        <v>34</v>
      </c>
      <c r="H213" s="8" t="n">
        <v>38</v>
      </c>
      <c r="I213" s="8" t="inlineStr">
        <is>
          <t>false</t>
        </is>
      </c>
      <c r="J213" s="8" t="n">
        <v>4</v>
      </c>
      <c r="K213" s="8" t="n">
        <v>5137</v>
      </c>
      <c r="L213" s="8" t="n">
        <v>8</v>
      </c>
      <c r="M213" s="10" t="n">
        <v>1.5</v>
      </c>
      <c r="N213" s="8" t="n">
        <v>1</v>
      </c>
      <c r="O213" s="8" t="n">
        <v>9</v>
      </c>
      <c r="P213" s="6">
        <f>LOWER(TRIM(C213))</f>
        <v/>
      </c>
      <c r="Q213" s="6">
        <f>IF(I213="true",1,0)</f>
        <v/>
      </c>
      <c r="R213" s="7">
        <f>IF(K213="","",K213)</f>
        <v/>
      </c>
      <c r="S213" s="6">
        <f>IF(OR(H213="",H213&lt;8,H213&gt;72),"",J213)</f>
        <v/>
      </c>
      <c r="T213" s="6">
        <f>IF(OR(P213="lyrics",P213="instrumental"),1,IF(AND(P213="none",COUNTIFS($B$2:$B$479,B213,$P$2:$P$479,"none")&gt;=3),1,0))</f>
        <v/>
      </c>
    </row>
    <row r="214">
      <c r="A214" s="3" t="n">
        <v>74</v>
      </c>
      <c r="B214" s="4" t="inlineStr">
        <is>
          <t>Participant 7</t>
        </is>
      </c>
      <c r="C214" s="4" t="inlineStr">
        <is>
          <t>instrumental</t>
        </is>
      </c>
      <c r="D214" s="4" t="inlineStr">
        <is>
          <t>2026-10-11T20:09:34.309Z</t>
        </is>
      </c>
      <c r="E214" s="3" t="n">
        <v>1</v>
      </c>
      <c r="F214" s="4" t="inlineStr">
        <is>
          <t>6 8 8 7 8 5 6 9</t>
        </is>
      </c>
      <c r="G214" s="3" t="n">
        <v>57</v>
      </c>
      <c r="H214" s="3" t="n">
        <v>57</v>
      </c>
      <c r="I214" s="3" t="inlineStr">
        <is>
          <t>true</t>
        </is>
      </c>
      <c r="J214" s="3" t="n">
        <v>0</v>
      </c>
      <c r="K214" s="3" t="n">
        <v>6414</v>
      </c>
      <c r="L214" s="3" t="n">
        <v>8</v>
      </c>
      <c r="M214" s="5" t="n">
        <v>1.5</v>
      </c>
      <c r="N214" s="3" t="n">
        <v>1</v>
      </c>
      <c r="O214" s="3" t="n">
        <v>9</v>
      </c>
      <c r="P214" s="6">
        <f>LOWER(TRIM(C214))</f>
        <v/>
      </c>
      <c r="Q214" s="6">
        <f>IF(I214="true",1,0)</f>
        <v/>
      </c>
      <c r="R214" s="7">
        <f>IF(K214="","",K214)</f>
        <v/>
      </c>
      <c r="S214" s="6">
        <f>IF(OR(H214="",H214&lt;8,H214&gt;72),"",J214)</f>
        <v/>
      </c>
      <c r="T214" s="6">
        <f>IF(OR(P214="lyrics",P214="instrumental"),1,IF(AND(P214="none",COUNTIFS($B$2:$B$479,B214,$P$2:$P$479,"none")&gt;=3),1,0))</f>
        <v/>
      </c>
    </row>
    <row r="215">
      <c r="A215" s="8" t="n">
        <v>74</v>
      </c>
      <c r="B215" s="9" t="inlineStr">
        <is>
          <t>Participant 7</t>
        </is>
      </c>
      <c r="C215" s="9" t="inlineStr">
        <is>
          <t>instrumental</t>
        </is>
      </c>
      <c r="D215" s="9" t="inlineStr">
        <is>
          <t>2026-10-11T20:09:34.309Z</t>
        </is>
      </c>
      <c r="E215" s="8" t="n">
        <v>2</v>
      </c>
      <c r="F215" s="9" t="inlineStr">
        <is>
          <t>1 5 2 2 2 5 2 4</t>
        </is>
      </c>
      <c r="G215" s="8" t="n">
        <v>23</v>
      </c>
      <c r="H215" s="8" t="n">
        <v>21</v>
      </c>
      <c r="I215" s="8" t="inlineStr">
        <is>
          <t>false</t>
        </is>
      </c>
      <c r="J215" s="8" t="n">
        <v>2</v>
      </c>
      <c r="K215" s="8" t="n">
        <v>2248</v>
      </c>
      <c r="L215" s="8" t="n">
        <v>8</v>
      </c>
      <c r="M215" s="10" t="n">
        <v>1.5</v>
      </c>
      <c r="N215" s="8" t="n">
        <v>1</v>
      </c>
      <c r="O215" s="8" t="n">
        <v>9</v>
      </c>
      <c r="P215" s="6">
        <f>LOWER(TRIM(C215))</f>
        <v/>
      </c>
      <c r="Q215" s="6">
        <f>IF(I215="true",1,0)</f>
        <v/>
      </c>
      <c r="R215" s="7">
        <f>IF(K215="","",K215)</f>
        <v/>
      </c>
      <c r="S215" s="6">
        <f>IF(OR(H215="",H215&lt;8,H215&gt;72),"",J215)</f>
        <v/>
      </c>
      <c r="T215" s="6">
        <f>IF(OR(P215="lyrics",P215="instrumental"),1,IF(AND(P215="none",COUNTIFS($B$2:$B$479,B215,$P$2:$P$479,"none")&gt;=3),1,0))</f>
        <v/>
      </c>
    </row>
    <row r="216">
      <c r="A216" s="3" t="n">
        <v>74</v>
      </c>
      <c r="B216" s="4" t="inlineStr">
        <is>
          <t>Participant 7</t>
        </is>
      </c>
      <c r="C216" s="4" t="inlineStr">
        <is>
          <t>instrumental</t>
        </is>
      </c>
      <c r="D216" s="4" t="inlineStr">
        <is>
          <t>2026-10-11T20:09:34.309Z</t>
        </is>
      </c>
      <c r="E216" s="3" t="n">
        <v>3</v>
      </c>
      <c r="F216" s="4" t="inlineStr">
        <is>
          <t>9 4 8 3 2 5 5 1</t>
        </is>
      </c>
      <c r="G216" s="3" t="n">
        <v>37</v>
      </c>
      <c r="H216" s="3" t="n">
        <v>37</v>
      </c>
      <c r="I216" s="3" t="inlineStr">
        <is>
          <t>true</t>
        </is>
      </c>
      <c r="J216" s="3" t="n">
        <v>0</v>
      </c>
      <c r="K216" s="3" t="n">
        <v>4308</v>
      </c>
      <c r="L216" s="3" t="n">
        <v>8</v>
      </c>
      <c r="M216" s="5" t="n">
        <v>1.5</v>
      </c>
      <c r="N216" s="3" t="n">
        <v>1</v>
      </c>
      <c r="O216" s="3" t="n">
        <v>9</v>
      </c>
      <c r="P216" s="6">
        <f>LOWER(TRIM(C216))</f>
        <v/>
      </c>
      <c r="Q216" s="6">
        <f>IF(I216="true",1,0)</f>
        <v/>
      </c>
      <c r="R216" s="7">
        <f>IF(K216="","",K216)</f>
        <v/>
      </c>
      <c r="S216" s="6">
        <f>IF(OR(H216="",H216&lt;8,H216&gt;72),"",J216)</f>
        <v/>
      </c>
      <c r="T216" s="6">
        <f>IF(OR(P216="lyrics",P216="instrumental"),1,IF(AND(P216="none",COUNTIFS($B$2:$B$479,B216,$P$2:$P$479,"none")&gt;=3),1,0))</f>
        <v/>
      </c>
    </row>
    <row r="217">
      <c r="A217" s="8" t="n">
        <v>75</v>
      </c>
      <c r="B217" s="9" t="inlineStr">
        <is>
          <t>Milo</t>
        </is>
      </c>
      <c r="C217" s="9" t="inlineStr">
        <is>
          <t>none</t>
        </is>
      </c>
      <c r="D217" s="9" t="inlineStr">
        <is>
          <t>2026-10-10T17:40:26.577Z</t>
        </is>
      </c>
      <c r="E217" s="8" t="n">
        <v>1</v>
      </c>
      <c r="F217" s="9" t="inlineStr">
        <is>
          <t>9 6 6 7 1 3 9 5</t>
        </is>
      </c>
      <c r="G217" s="8" t="n">
        <v>46</v>
      </c>
      <c r="H217" s="8" t="n">
        <v>46</v>
      </c>
      <c r="I217" s="8" t="inlineStr">
        <is>
          <t>true</t>
        </is>
      </c>
      <c r="J217" s="8" t="n">
        <v>0</v>
      </c>
      <c r="K217" s="8" t="n">
        <v>3691</v>
      </c>
      <c r="L217" s="8" t="n">
        <v>8</v>
      </c>
      <c r="M217" s="10" t="n">
        <v>1.8</v>
      </c>
      <c r="N217" s="8" t="n">
        <v>1</v>
      </c>
      <c r="O217" s="8" t="n">
        <v>9</v>
      </c>
      <c r="P217" s="6">
        <f>LOWER(TRIM(C217))</f>
        <v/>
      </c>
      <c r="Q217" s="6">
        <f>IF(I217="true",1,0)</f>
        <v/>
      </c>
      <c r="R217" s="7">
        <f>IF(K217="","",K217)</f>
        <v/>
      </c>
      <c r="S217" s="6">
        <f>IF(OR(H217="",H217&lt;8,H217&gt;72),"",J217)</f>
        <v/>
      </c>
      <c r="T217" s="6">
        <f>IF(OR(P217="lyrics",P217="instrumental"),1,IF(AND(P217="none",COUNTIFS($B$2:$B$479,B217,$P$2:$P$479,"none")&gt;=3),1,0))</f>
        <v/>
      </c>
    </row>
    <row r="218">
      <c r="A218" s="3" t="n">
        <v>75</v>
      </c>
      <c r="B218" s="4" t="inlineStr">
        <is>
          <t>Milo</t>
        </is>
      </c>
      <c r="C218" s="4" t="inlineStr">
        <is>
          <t>none</t>
        </is>
      </c>
      <c r="D218" s="4" t="inlineStr">
        <is>
          <t>2026-10-10T17:40:26.577Z</t>
        </is>
      </c>
      <c r="E218" s="3" t="n">
        <v>2</v>
      </c>
      <c r="F218" s="4" t="inlineStr">
        <is>
          <t>2 8 8 8 7 4 3 1</t>
        </is>
      </c>
      <c r="G218" s="3" t="n">
        <v>41</v>
      </c>
      <c r="H218" s="3" t="n">
        <v>41</v>
      </c>
      <c r="I218" s="3" t="inlineStr">
        <is>
          <t>true</t>
        </is>
      </c>
      <c r="J218" s="3" t="n">
        <v>0</v>
      </c>
      <c r="K218" s="3" t="n">
        <v>2687</v>
      </c>
      <c r="L218" s="3" t="n">
        <v>8</v>
      </c>
      <c r="M218" s="5" t="n">
        <v>1.8</v>
      </c>
      <c r="N218" s="3" t="n">
        <v>1</v>
      </c>
      <c r="O218" s="3" t="n">
        <v>9</v>
      </c>
      <c r="P218" s="6">
        <f>LOWER(TRIM(C218))</f>
        <v/>
      </c>
      <c r="Q218" s="6">
        <f>IF(I218="true",1,0)</f>
        <v/>
      </c>
      <c r="R218" s="7">
        <f>IF(K218="","",K218)</f>
        <v/>
      </c>
      <c r="S218" s="6">
        <f>IF(OR(H218="",H218&lt;8,H218&gt;72),"",J218)</f>
        <v/>
      </c>
      <c r="T218" s="6">
        <f>IF(OR(P218="lyrics",P218="instrumental"),1,IF(AND(P218="none",COUNTIFS($B$2:$B$479,B218,$P$2:$P$479,"none")&gt;=3),1,0))</f>
        <v/>
      </c>
    </row>
    <row r="219">
      <c r="A219" s="8" t="n">
        <v>76</v>
      </c>
      <c r="B219" s="9" t="inlineStr">
        <is>
          <t>Milo</t>
        </is>
      </c>
      <c r="C219" s="9" t="inlineStr">
        <is>
          <t>lyrics</t>
        </is>
      </c>
      <c r="D219" s="9" t="inlineStr">
        <is>
          <t>2026-10-10T17:42:15.430Z</t>
        </is>
      </c>
      <c r="E219" s="8" t="n">
        <v>1</v>
      </c>
      <c r="F219" s="9" t="inlineStr">
        <is>
          <t>9 4 4 9 4 9 6 8</t>
        </is>
      </c>
      <c r="G219" s="8" t="n">
        <v>53</v>
      </c>
      <c r="H219" s="8" t="n">
        <v>53</v>
      </c>
      <c r="I219" s="8" t="inlineStr">
        <is>
          <t>true</t>
        </is>
      </c>
      <c r="J219" s="8" t="n">
        <v>0</v>
      </c>
      <c r="K219" s="8" t="n">
        <v>2881</v>
      </c>
      <c r="L219" s="8" t="n">
        <v>8</v>
      </c>
      <c r="M219" s="10" t="n">
        <v>1.8</v>
      </c>
      <c r="N219" s="8" t="n">
        <v>1</v>
      </c>
      <c r="O219" s="8" t="n">
        <v>9</v>
      </c>
      <c r="P219" s="6">
        <f>LOWER(TRIM(C219))</f>
        <v/>
      </c>
      <c r="Q219" s="6">
        <f>IF(I219="true",1,0)</f>
        <v/>
      </c>
      <c r="R219" s="7">
        <f>IF(K219="","",K219)</f>
        <v/>
      </c>
      <c r="S219" s="6">
        <f>IF(OR(H219="",H219&lt;8,H219&gt;72),"",J219)</f>
        <v/>
      </c>
      <c r="T219" s="6">
        <f>IF(OR(P219="lyrics",P219="instrumental"),1,IF(AND(P219="none",COUNTIFS($B$2:$B$479,B219,$P$2:$P$479,"none")&gt;=3),1,0))</f>
        <v/>
      </c>
    </row>
    <row r="220">
      <c r="A220" s="3" t="n">
        <v>76</v>
      </c>
      <c r="B220" s="4" t="inlineStr">
        <is>
          <t>Milo</t>
        </is>
      </c>
      <c r="C220" s="4" t="inlineStr">
        <is>
          <t>lyrics</t>
        </is>
      </c>
      <c r="D220" s="4" t="inlineStr">
        <is>
          <t>2026-10-10T17:42:15.430Z</t>
        </is>
      </c>
      <c r="E220" s="3" t="n">
        <v>2</v>
      </c>
      <c r="F220" s="4" t="inlineStr">
        <is>
          <t>2 6 3 3 4 7 2 9</t>
        </is>
      </c>
      <c r="G220" s="3" t="n">
        <v>36</v>
      </c>
      <c r="H220" s="3" t="n">
        <v>36</v>
      </c>
      <c r="I220" s="3" t="inlineStr">
        <is>
          <t>true</t>
        </is>
      </c>
      <c r="J220" s="3" t="n">
        <v>0</v>
      </c>
      <c r="K220" s="3" t="n">
        <v>2620</v>
      </c>
      <c r="L220" s="3" t="n">
        <v>8</v>
      </c>
      <c r="M220" s="5" t="n">
        <v>1.8</v>
      </c>
      <c r="N220" s="3" t="n">
        <v>1</v>
      </c>
      <c r="O220" s="3" t="n">
        <v>9</v>
      </c>
      <c r="P220" s="6">
        <f>LOWER(TRIM(C220))</f>
        <v/>
      </c>
      <c r="Q220" s="6">
        <f>IF(I220="true",1,0)</f>
        <v/>
      </c>
      <c r="R220" s="7">
        <f>IF(K220="","",K220)</f>
        <v/>
      </c>
      <c r="S220" s="6">
        <f>IF(OR(H220="",H220&lt;8,H220&gt;72),"",J220)</f>
        <v/>
      </c>
      <c r="T220" s="6">
        <f>IF(OR(P220="lyrics",P220="instrumental"),1,IF(AND(P220="none",COUNTIFS($B$2:$B$479,B220,$P$2:$P$479,"none")&gt;=3),1,0))</f>
        <v/>
      </c>
    </row>
    <row r="221">
      <c r="A221" s="8" t="n">
        <v>76</v>
      </c>
      <c r="B221" s="9" t="inlineStr">
        <is>
          <t>Milo</t>
        </is>
      </c>
      <c r="C221" s="9" t="inlineStr">
        <is>
          <t>lyrics</t>
        </is>
      </c>
      <c r="D221" s="9" t="inlineStr">
        <is>
          <t>2026-10-10T17:42:15.430Z</t>
        </is>
      </c>
      <c r="E221" s="8" t="n">
        <v>3</v>
      </c>
      <c r="F221" s="9" t="inlineStr">
        <is>
          <t>4 5 3 1 6 5 1 9</t>
        </is>
      </c>
      <c r="G221" s="8" t="n">
        <v>34</v>
      </c>
      <c r="H221" s="8" t="n">
        <v>34</v>
      </c>
      <c r="I221" s="8" t="inlineStr">
        <is>
          <t>true</t>
        </is>
      </c>
      <c r="J221" s="8" t="n">
        <v>0</v>
      </c>
      <c r="K221" s="8" t="n">
        <v>2102</v>
      </c>
      <c r="L221" s="8" t="n">
        <v>8</v>
      </c>
      <c r="M221" s="10" t="n">
        <v>1.8</v>
      </c>
      <c r="N221" s="8" t="n">
        <v>1</v>
      </c>
      <c r="O221" s="8" t="n">
        <v>9</v>
      </c>
      <c r="P221" s="6">
        <f>LOWER(TRIM(C221))</f>
        <v/>
      </c>
      <c r="Q221" s="6">
        <f>IF(I221="true",1,0)</f>
        <v/>
      </c>
      <c r="R221" s="7">
        <f>IF(K221="","",K221)</f>
        <v/>
      </c>
      <c r="S221" s="6">
        <f>IF(OR(H221="",H221&lt;8,H221&gt;72),"",J221)</f>
        <v/>
      </c>
      <c r="T221" s="6">
        <f>IF(OR(P221="lyrics",P221="instrumental"),1,IF(AND(P221="none",COUNTIFS($B$2:$B$479,B221,$P$2:$P$479,"none")&gt;=3),1,0))</f>
        <v/>
      </c>
    </row>
    <row r="222">
      <c r="A222" s="3" t="n">
        <v>77</v>
      </c>
      <c r="B222" s="4" t="inlineStr">
        <is>
          <t>Milo</t>
        </is>
      </c>
      <c r="C222" s="4" t="inlineStr">
        <is>
          <t>lyrics</t>
        </is>
      </c>
      <c r="D222" s="4" t="inlineStr">
        <is>
          <t>2026-10-10T17:43:44.880Z</t>
        </is>
      </c>
      <c r="E222" s="3" t="n">
        <v>1</v>
      </c>
      <c r="F222" s="4" t="inlineStr">
        <is>
          <t>8 6 8 5 4 7 1 1</t>
        </is>
      </c>
      <c r="G222" s="3" t="n">
        <v>40</v>
      </c>
      <c r="H222" s="3" t="n">
        <v>40</v>
      </c>
      <c r="I222" s="3" t="inlineStr">
        <is>
          <t>true</t>
        </is>
      </c>
      <c r="J222" s="3" t="n">
        <v>0</v>
      </c>
      <c r="K222" s="3" t="n">
        <v>1867</v>
      </c>
      <c r="L222" s="3" t="n">
        <v>8</v>
      </c>
      <c r="M222" s="5" t="n">
        <v>1.8</v>
      </c>
      <c r="N222" s="3" t="n">
        <v>1</v>
      </c>
      <c r="O222" s="3" t="n">
        <v>9</v>
      </c>
      <c r="P222" s="6">
        <f>LOWER(TRIM(C222))</f>
        <v/>
      </c>
      <c r="Q222" s="6">
        <f>IF(I222="true",1,0)</f>
        <v/>
      </c>
      <c r="R222" s="7">
        <f>IF(K222="","",K222)</f>
        <v/>
      </c>
      <c r="S222" s="6">
        <f>IF(OR(H222="",H222&lt;8,H222&gt;72),"",J222)</f>
        <v/>
      </c>
      <c r="T222" s="6">
        <f>IF(OR(P222="lyrics",P222="instrumental"),1,IF(AND(P222="none",COUNTIFS($B$2:$B$479,B222,$P$2:$P$479,"none")&gt;=3),1,0))</f>
        <v/>
      </c>
    </row>
    <row r="223">
      <c r="A223" s="8" t="n">
        <v>77</v>
      </c>
      <c r="B223" s="9" t="inlineStr">
        <is>
          <t>Milo</t>
        </is>
      </c>
      <c r="C223" s="9" t="inlineStr">
        <is>
          <t>lyrics</t>
        </is>
      </c>
      <c r="D223" s="9" t="inlineStr">
        <is>
          <t>2026-10-10T17:43:44.880Z</t>
        </is>
      </c>
      <c r="E223" s="8" t="n">
        <v>2</v>
      </c>
      <c r="F223" s="9" t="inlineStr">
        <is>
          <t>8 4 9 4 8 7 7 6</t>
        </is>
      </c>
      <c r="G223" s="8" t="n">
        <v>53</v>
      </c>
      <c r="H223" s="8" t="n">
        <v>53</v>
      </c>
      <c r="I223" s="8" t="inlineStr">
        <is>
          <t>true</t>
        </is>
      </c>
      <c r="J223" s="8" t="n">
        <v>0</v>
      </c>
      <c r="K223" s="8" t="n">
        <v>2260</v>
      </c>
      <c r="L223" s="8" t="n">
        <v>8</v>
      </c>
      <c r="M223" s="10" t="n">
        <v>1.8</v>
      </c>
      <c r="N223" s="8" t="n">
        <v>1</v>
      </c>
      <c r="O223" s="8" t="n">
        <v>9</v>
      </c>
      <c r="P223" s="6">
        <f>LOWER(TRIM(C223))</f>
        <v/>
      </c>
      <c r="Q223" s="6">
        <f>IF(I223="true",1,0)</f>
        <v/>
      </c>
      <c r="R223" s="7">
        <f>IF(K223="","",K223)</f>
        <v/>
      </c>
      <c r="S223" s="6">
        <f>IF(OR(H223="",H223&lt;8,H223&gt;72),"",J223)</f>
        <v/>
      </c>
      <c r="T223" s="6">
        <f>IF(OR(P223="lyrics",P223="instrumental"),1,IF(AND(P223="none",COUNTIFS($B$2:$B$479,B223,$P$2:$P$479,"none")&gt;=3),1,0))</f>
        <v/>
      </c>
    </row>
    <row r="224">
      <c r="A224" s="3" t="n">
        <v>77</v>
      </c>
      <c r="B224" s="4" t="inlineStr">
        <is>
          <t>Milo</t>
        </is>
      </c>
      <c r="C224" s="4" t="inlineStr">
        <is>
          <t>lyrics</t>
        </is>
      </c>
      <c r="D224" s="4" t="inlineStr">
        <is>
          <t>2026-10-10T17:43:44.880Z</t>
        </is>
      </c>
      <c r="E224" s="3" t="n">
        <v>3</v>
      </c>
      <c r="F224" s="4" t="inlineStr">
        <is>
          <t>3 2 1 4 6 5 2 8</t>
        </is>
      </c>
      <c r="G224" s="3" t="n">
        <v>31</v>
      </c>
      <c r="H224" s="3" t="n">
        <v>31</v>
      </c>
      <c r="I224" s="3" t="inlineStr">
        <is>
          <t>true</t>
        </is>
      </c>
      <c r="J224" s="3" t="n">
        <v>0</v>
      </c>
      <c r="K224" s="3" t="n">
        <v>2204</v>
      </c>
      <c r="L224" s="3" t="n">
        <v>8</v>
      </c>
      <c r="M224" s="5" t="n">
        <v>1.8</v>
      </c>
      <c r="N224" s="3" t="n">
        <v>1</v>
      </c>
      <c r="O224" s="3" t="n">
        <v>9</v>
      </c>
      <c r="P224" s="6">
        <f>LOWER(TRIM(C224))</f>
        <v/>
      </c>
      <c r="Q224" s="6">
        <f>IF(I224="true",1,0)</f>
        <v/>
      </c>
      <c r="R224" s="7">
        <f>IF(K224="","",K224)</f>
        <v/>
      </c>
      <c r="S224" s="6">
        <f>IF(OR(H224="",H224&lt;8,H224&gt;72),"",J224)</f>
        <v/>
      </c>
      <c r="T224" s="6">
        <f>IF(OR(P224="lyrics",P224="instrumental"),1,IF(AND(P224="none",COUNTIFS($B$2:$B$479,B224,$P$2:$P$479,"none")&gt;=3),1,0))</f>
        <v/>
      </c>
    </row>
    <row r="225">
      <c r="A225" s="8" t="n">
        <v>78</v>
      </c>
      <c r="B225" s="9" t="inlineStr">
        <is>
          <t>Milo</t>
        </is>
      </c>
      <c r="C225" s="9" t="inlineStr">
        <is>
          <t>lyrics</t>
        </is>
      </c>
      <c r="D225" s="9" t="inlineStr">
        <is>
          <t>2026-10-10T17:45:16.485Z</t>
        </is>
      </c>
      <c r="E225" s="8" t="n">
        <v>1</v>
      </c>
      <c r="F225" s="9" t="inlineStr">
        <is>
          <t>8 9 7 1 7 8 2 1</t>
        </is>
      </c>
      <c r="G225" s="8" t="n">
        <v>43</v>
      </c>
      <c r="H225" s="8" t="n">
        <v>43</v>
      </c>
      <c r="I225" s="8" t="inlineStr">
        <is>
          <t>true</t>
        </is>
      </c>
      <c r="J225" s="8" t="n">
        <v>0</v>
      </c>
      <c r="K225" s="8" t="n">
        <v>2092</v>
      </c>
      <c r="L225" s="8" t="n">
        <v>8</v>
      </c>
      <c r="M225" s="10" t="n">
        <v>1.8</v>
      </c>
      <c r="N225" s="8" t="n">
        <v>1</v>
      </c>
      <c r="O225" s="8" t="n">
        <v>9</v>
      </c>
      <c r="P225" s="6">
        <f>LOWER(TRIM(C225))</f>
        <v/>
      </c>
      <c r="Q225" s="6">
        <f>IF(I225="true",1,0)</f>
        <v/>
      </c>
      <c r="R225" s="7">
        <f>IF(K225="","",K225)</f>
        <v/>
      </c>
      <c r="S225" s="6">
        <f>IF(OR(H225="",H225&lt;8,H225&gt;72),"",J225)</f>
        <v/>
      </c>
      <c r="T225" s="6">
        <f>IF(OR(P225="lyrics",P225="instrumental"),1,IF(AND(P225="none",COUNTIFS($B$2:$B$479,B225,$P$2:$P$479,"none")&gt;=3),1,0))</f>
        <v/>
      </c>
    </row>
    <row r="226">
      <c r="A226" s="3" t="n">
        <v>78</v>
      </c>
      <c r="B226" s="4" t="inlineStr">
        <is>
          <t>Milo</t>
        </is>
      </c>
      <c r="C226" s="4" t="inlineStr">
        <is>
          <t>lyrics</t>
        </is>
      </c>
      <c r="D226" s="4" t="inlineStr">
        <is>
          <t>2026-10-10T17:45:16.485Z</t>
        </is>
      </c>
      <c r="E226" s="3" t="n">
        <v>2</v>
      </c>
      <c r="F226" s="4" t="inlineStr">
        <is>
          <t>3 1 4 6 7 5 1 3</t>
        </is>
      </c>
      <c r="G226" s="3" t="n">
        <v>30</v>
      </c>
      <c r="H226" s="3" t="n">
        <v>30</v>
      </c>
      <c r="I226" s="3" t="inlineStr">
        <is>
          <t>true</t>
        </is>
      </c>
      <c r="J226" s="3" t="n">
        <v>0</v>
      </c>
      <c r="K226" s="3" t="n">
        <v>2136</v>
      </c>
      <c r="L226" s="3" t="n">
        <v>8</v>
      </c>
      <c r="M226" s="5" t="n">
        <v>1.8</v>
      </c>
      <c r="N226" s="3" t="n">
        <v>1</v>
      </c>
      <c r="O226" s="3" t="n">
        <v>9</v>
      </c>
      <c r="P226" s="6">
        <f>LOWER(TRIM(C226))</f>
        <v/>
      </c>
      <c r="Q226" s="6">
        <f>IF(I226="true",1,0)</f>
        <v/>
      </c>
      <c r="R226" s="7">
        <f>IF(K226="","",K226)</f>
        <v/>
      </c>
      <c r="S226" s="6">
        <f>IF(OR(H226="",H226&lt;8,H226&gt;72),"",J226)</f>
        <v/>
      </c>
      <c r="T226" s="6">
        <f>IF(OR(P226="lyrics",P226="instrumental"),1,IF(AND(P226="none",COUNTIFS($B$2:$B$479,B226,$P$2:$P$479,"none")&gt;=3),1,0))</f>
        <v/>
      </c>
    </row>
    <row r="227">
      <c r="A227" s="8" t="n">
        <v>78</v>
      </c>
      <c r="B227" s="9" t="inlineStr">
        <is>
          <t>Milo</t>
        </is>
      </c>
      <c r="C227" s="9" t="inlineStr">
        <is>
          <t>lyrics</t>
        </is>
      </c>
      <c r="D227" s="9" t="inlineStr">
        <is>
          <t>2026-10-10T17:45:16.485Z</t>
        </is>
      </c>
      <c r="E227" s="8" t="n">
        <v>3</v>
      </c>
      <c r="F227" s="9" t="inlineStr">
        <is>
          <t>3 3 5 3 9 8 3 4</t>
        </is>
      </c>
      <c r="G227" s="8" t="n">
        <v>38</v>
      </c>
      <c r="H227" s="8" t="n">
        <v>51</v>
      </c>
      <c r="I227" s="8" t="inlineStr">
        <is>
          <t>false</t>
        </is>
      </c>
      <c r="J227" s="8" t="n">
        <v>13</v>
      </c>
      <c r="K227" s="8" t="n">
        <v>5251</v>
      </c>
      <c r="L227" s="8" t="n">
        <v>8</v>
      </c>
      <c r="M227" s="10" t="n">
        <v>1.8</v>
      </c>
      <c r="N227" s="8" t="n">
        <v>1</v>
      </c>
      <c r="O227" s="8" t="n">
        <v>9</v>
      </c>
      <c r="P227" s="6">
        <f>LOWER(TRIM(C227))</f>
        <v/>
      </c>
      <c r="Q227" s="6">
        <f>IF(I227="true",1,0)</f>
        <v/>
      </c>
      <c r="R227" s="7">
        <f>IF(K227="","",K227)</f>
        <v/>
      </c>
      <c r="S227" s="6">
        <f>IF(OR(H227="",H227&lt;8,H227&gt;72),"",J227)</f>
        <v/>
      </c>
      <c r="T227" s="6">
        <f>IF(OR(P227="lyrics",P227="instrumental"),1,IF(AND(P227="none",COUNTIFS($B$2:$B$479,B227,$P$2:$P$479,"none")&gt;=3),1,0))</f>
        <v/>
      </c>
    </row>
    <row r="228">
      <c r="A228" s="3" t="n">
        <v>79</v>
      </c>
      <c r="B228" s="4" t="inlineStr">
        <is>
          <t>Milo</t>
        </is>
      </c>
      <c r="C228" s="4" t="inlineStr">
        <is>
          <t>instrumental</t>
        </is>
      </c>
      <c r="D228" s="4" t="inlineStr">
        <is>
          <t>2026-10-10T17:46:42.712Z</t>
        </is>
      </c>
      <c r="E228" s="3" t="n">
        <v>1</v>
      </c>
      <c r="F228" s="4" t="inlineStr">
        <is>
          <t>5 9 1 7 6 4 8 6</t>
        </is>
      </c>
      <c r="G228" s="3" t="n">
        <v>46</v>
      </c>
      <c r="H228" s="3" t="n">
        <v>46</v>
      </c>
      <c r="I228" s="3" t="inlineStr">
        <is>
          <t>true</t>
        </is>
      </c>
      <c r="J228" s="3" t="n">
        <v>0</v>
      </c>
      <c r="K228" s="3" t="n">
        <v>1339</v>
      </c>
      <c r="L228" s="3" t="n">
        <v>8</v>
      </c>
      <c r="M228" s="5" t="n">
        <v>1.8</v>
      </c>
      <c r="N228" s="3" t="n">
        <v>1</v>
      </c>
      <c r="O228" s="3" t="n">
        <v>9</v>
      </c>
      <c r="P228" s="6">
        <f>LOWER(TRIM(C228))</f>
        <v/>
      </c>
      <c r="Q228" s="6">
        <f>IF(I228="true",1,0)</f>
        <v/>
      </c>
      <c r="R228" s="7">
        <f>IF(K228="","",K228)</f>
        <v/>
      </c>
      <c r="S228" s="6">
        <f>IF(OR(H228="",H228&lt;8,H228&gt;72),"",J228)</f>
        <v/>
      </c>
      <c r="T228" s="6">
        <f>IF(OR(P228="lyrics",P228="instrumental"),1,IF(AND(P228="none",COUNTIFS($B$2:$B$479,B228,$P$2:$P$479,"none")&gt;=3),1,0))</f>
        <v/>
      </c>
    </row>
    <row r="229">
      <c r="A229" s="8" t="n">
        <v>79</v>
      </c>
      <c r="B229" s="9" t="inlineStr">
        <is>
          <t>Milo</t>
        </is>
      </c>
      <c r="C229" s="9" t="inlineStr">
        <is>
          <t>instrumental</t>
        </is>
      </c>
      <c r="D229" s="9" t="inlineStr">
        <is>
          <t>2026-10-10T17:46:42.712Z</t>
        </is>
      </c>
      <c r="E229" s="8" t="n">
        <v>2</v>
      </c>
      <c r="F229" s="9" t="inlineStr">
        <is>
          <t>5 8 3 7 9 3 4 9</t>
        </is>
      </c>
      <c r="G229" s="8" t="n">
        <v>48</v>
      </c>
      <c r="H229" s="8" t="n">
        <v>48</v>
      </c>
      <c r="I229" s="8" t="inlineStr">
        <is>
          <t>true</t>
        </is>
      </c>
      <c r="J229" s="8" t="n">
        <v>0</v>
      </c>
      <c r="K229" s="8" t="n">
        <v>3664</v>
      </c>
      <c r="L229" s="8" t="n">
        <v>8</v>
      </c>
      <c r="M229" s="10" t="n">
        <v>1.8</v>
      </c>
      <c r="N229" s="8" t="n">
        <v>1</v>
      </c>
      <c r="O229" s="8" t="n">
        <v>9</v>
      </c>
      <c r="P229" s="6">
        <f>LOWER(TRIM(C229))</f>
        <v/>
      </c>
      <c r="Q229" s="6">
        <f>IF(I229="true",1,0)</f>
        <v/>
      </c>
      <c r="R229" s="7">
        <f>IF(K229="","",K229)</f>
        <v/>
      </c>
      <c r="S229" s="6">
        <f>IF(OR(H229="",H229&lt;8,H229&gt;72),"",J229)</f>
        <v/>
      </c>
      <c r="T229" s="6">
        <f>IF(OR(P229="lyrics",P229="instrumental"),1,IF(AND(P229="none",COUNTIFS($B$2:$B$479,B229,$P$2:$P$479,"none")&gt;=3),1,0))</f>
        <v/>
      </c>
    </row>
    <row r="230">
      <c r="A230" s="3" t="n">
        <v>79</v>
      </c>
      <c r="B230" s="4" t="inlineStr">
        <is>
          <t>Milo</t>
        </is>
      </c>
      <c r="C230" s="4" t="inlineStr">
        <is>
          <t>instrumental</t>
        </is>
      </c>
      <c r="D230" s="4" t="inlineStr">
        <is>
          <t>2026-10-10T17:46:42.712Z</t>
        </is>
      </c>
      <c r="E230" s="3" t="n">
        <v>3</v>
      </c>
      <c r="F230" s="4" t="inlineStr">
        <is>
          <t>3 3 2 2 7 6 8 7</t>
        </is>
      </c>
      <c r="G230" s="3" t="n">
        <v>38</v>
      </c>
      <c r="H230" s="3" t="n">
        <v>38</v>
      </c>
      <c r="I230" s="3" t="inlineStr">
        <is>
          <t>true</t>
        </is>
      </c>
      <c r="J230" s="3" t="n">
        <v>0</v>
      </c>
      <c r="K230" s="3" t="n">
        <v>2278</v>
      </c>
      <c r="L230" s="3" t="n">
        <v>8</v>
      </c>
      <c r="M230" s="5" t="n">
        <v>1.8</v>
      </c>
      <c r="N230" s="3" t="n">
        <v>1</v>
      </c>
      <c r="O230" s="3" t="n">
        <v>9</v>
      </c>
      <c r="P230" s="6">
        <f>LOWER(TRIM(C230))</f>
        <v/>
      </c>
      <c r="Q230" s="6">
        <f>IF(I230="true",1,0)</f>
        <v/>
      </c>
      <c r="R230" s="7">
        <f>IF(K230="","",K230)</f>
        <v/>
      </c>
      <c r="S230" s="6">
        <f>IF(OR(H230="",H230&lt;8,H230&gt;72),"",J230)</f>
        <v/>
      </c>
      <c r="T230" s="6">
        <f>IF(OR(P230="lyrics",P230="instrumental"),1,IF(AND(P230="none",COUNTIFS($B$2:$B$479,B230,$P$2:$P$479,"none")&gt;=3),1,0))</f>
        <v/>
      </c>
    </row>
    <row r="231">
      <c r="A231" s="8" t="n">
        <v>80</v>
      </c>
      <c r="B231" s="9" t="inlineStr">
        <is>
          <t>Milo</t>
        </is>
      </c>
      <c r="C231" s="9" t="inlineStr">
        <is>
          <t>instrumental</t>
        </is>
      </c>
      <c r="D231" s="9" t="inlineStr">
        <is>
          <t>2026-10-10T17:47:56.079Z</t>
        </is>
      </c>
      <c r="E231" s="8" t="n">
        <v>1</v>
      </c>
      <c r="F231" s="9" t="inlineStr">
        <is>
          <t>7 8 7 5 5 8 1 9</t>
        </is>
      </c>
      <c r="G231" s="8" t="n">
        <v>50</v>
      </c>
      <c r="H231" s="8" t="n">
        <v>50</v>
      </c>
      <c r="I231" s="8" t="inlineStr">
        <is>
          <t>true</t>
        </is>
      </c>
      <c r="J231" s="8" t="n">
        <v>0</v>
      </c>
      <c r="K231" s="8" t="n">
        <v>1385</v>
      </c>
      <c r="L231" s="8" t="n">
        <v>8</v>
      </c>
      <c r="M231" s="10" t="n">
        <v>1.8</v>
      </c>
      <c r="N231" s="8" t="n">
        <v>1</v>
      </c>
      <c r="O231" s="8" t="n">
        <v>9</v>
      </c>
      <c r="P231" s="6">
        <f>LOWER(TRIM(C231))</f>
        <v/>
      </c>
      <c r="Q231" s="6">
        <f>IF(I231="true",1,0)</f>
        <v/>
      </c>
      <c r="R231" s="7">
        <f>IF(K231="","",K231)</f>
        <v/>
      </c>
      <c r="S231" s="6">
        <f>IF(OR(H231="",H231&lt;8,H231&gt;72),"",J231)</f>
        <v/>
      </c>
      <c r="T231" s="6">
        <f>IF(OR(P231="lyrics",P231="instrumental"),1,IF(AND(P231="none",COUNTIFS($B$2:$B$479,B231,$P$2:$P$479,"none")&gt;=3),1,0))</f>
        <v/>
      </c>
    </row>
    <row r="232">
      <c r="A232" s="3" t="n">
        <v>80</v>
      </c>
      <c r="B232" s="4" t="inlineStr">
        <is>
          <t>Milo</t>
        </is>
      </c>
      <c r="C232" s="4" t="inlineStr">
        <is>
          <t>instrumental</t>
        </is>
      </c>
      <c r="D232" s="4" t="inlineStr">
        <is>
          <t>2026-10-10T17:47:56.079Z</t>
        </is>
      </c>
      <c r="E232" s="3" t="n">
        <v>2</v>
      </c>
      <c r="F232" s="4" t="inlineStr">
        <is>
          <t>1 6 9 5 6 5 6 4</t>
        </is>
      </c>
      <c r="G232" s="3" t="n">
        <v>42</v>
      </c>
      <c r="H232" s="3" t="n">
        <v>42</v>
      </c>
      <c r="I232" s="3" t="inlineStr">
        <is>
          <t>true</t>
        </is>
      </c>
      <c r="J232" s="3" t="n">
        <v>0</v>
      </c>
      <c r="K232" s="3" t="n">
        <v>2102</v>
      </c>
      <c r="L232" s="3" t="n">
        <v>8</v>
      </c>
      <c r="M232" s="5" t="n">
        <v>1.8</v>
      </c>
      <c r="N232" s="3" t="n">
        <v>1</v>
      </c>
      <c r="O232" s="3" t="n">
        <v>9</v>
      </c>
      <c r="P232" s="6">
        <f>LOWER(TRIM(C232))</f>
        <v/>
      </c>
      <c r="Q232" s="6">
        <f>IF(I232="true",1,0)</f>
        <v/>
      </c>
      <c r="R232" s="7">
        <f>IF(K232="","",K232)</f>
        <v/>
      </c>
      <c r="S232" s="6">
        <f>IF(OR(H232="",H232&lt;8,H232&gt;72),"",J232)</f>
        <v/>
      </c>
      <c r="T232" s="6">
        <f>IF(OR(P232="lyrics",P232="instrumental"),1,IF(AND(P232="none",COUNTIFS($B$2:$B$479,B232,$P$2:$P$479,"none")&gt;=3),1,0))</f>
        <v/>
      </c>
    </row>
    <row r="233">
      <c r="A233" s="8" t="n">
        <v>80</v>
      </c>
      <c r="B233" s="9" t="inlineStr">
        <is>
          <t>Milo</t>
        </is>
      </c>
      <c r="C233" s="9" t="inlineStr">
        <is>
          <t>instrumental</t>
        </is>
      </c>
      <c r="D233" s="9" t="inlineStr">
        <is>
          <t>2026-10-10T17:47:56.079Z</t>
        </is>
      </c>
      <c r="E233" s="8" t="n">
        <v>3</v>
      </c>
      <c r="F233" s="9" t="inlineStr">
        <is>
          <t>5 9 4 7 8 4 9 8</t>
        </is>
      </c>
      <c r="G233" s="8" t="n">
        <v>54</v>
      </c>
      <c r="H233" s="8" t="n">
        <v>54</v>
      </c>
      <c r="I233" s="8" t="inlineStr">
        <is>
          <t>true</t>
        </is>
      </c>
      <c r="J233" s="8" t="n">
        <v>0</v>
      </c>
      <c r="K233" s="8" t="n">
        <v>3348</v>
      </c>
      <c r="L233" s="8" t="n">
        <v>8</v>
      </c>
      <c r="M233" s="10" t="n">
        <v>1.8</v>
      </c>
      <c r="N233" s="8" t="n">
        <v>1</v>
      </c>
      <c r="O233" s="8" t="n">
        <v>9</v>
      </c>
      <c r="P233" s="6">
        <f>LOWER(TRIM(C233))</f>
        <v/>
      </c>
      <c r="Q233" s="6">
        <f>IF(I233="true",1,0)</f>
        <v/>
      </c>
      <c r="R233" s="7">
        <f>IF(K233="","",K233)</f>
        <v/>
      </c>
      <c r="S233" s="6">
        <f>IF(OR(H233="",H233&lt;8,H233&gt;72),"",J233)</f>
        <v/>
      </c>
      <c r="T233" s="6">
        <f>IF(OR(P233="lyrics",P233="instrumental"),1,IF(AND(P233="none",COUNTIFS($B$2:$B$479,B233,$P$2:$P$479,"none")&gt;=3),1,0))</f>
        <v/>
      </c>
    </row>
    <row r="234">
      <c r="A234" s="3" t="n">
        <v>81</v>
      </c>
      <c r="B234" s="4" t="inlineStr">
        <is>
          <t>Milo</t>
        </is>
      </c>
      <c r="C234" s="4" t="inlineStr">
        <is>
          <t>instrumental</t>
        </is>
      </c>
      <c r="D234" s="4" t="inlineStr">
        <is>
          <t>2026-10-10T17:49:06.035Z</t>
        </is>
      </c>
      <c r="E234" s="3" t="n">
        <v>1</v>
      </c>
      <c r="F234" s="4" t="inlineStr">
        <is>
          <t>6 6 5 4 8 6 9 6</t>
        </is>
      </c>
      <c r="G234" s="3" t="n">
        <v>50</v>
      </c>
      <c r="H234" s="3" t="n">
        <v>50</v>
      </c>
      <c r="I234" s="3" t="inlineStr">
        <is>
          <t>true</t>
        </is>
      </c>
      <c r="J234" s="3" t="n">
        <v>0</v>
      </c>
      <c r="K234" s="3" t="n">
        <v>2140</v>
      </c>
      <c r="L234" s="3" t="n">
        <v>8</v>
      </c>
      <c r="M234" s="5" t="n">
        <v>1.8</v>
      </c>
      <c r="N234" s="3" t="n">
        <v>1</v>
      </c>
      <c r="O234" s="3" t="n">
        <v>9</v>
      </c>
      <c r="P234" s="6">
        <f>LOWER(TRIM(C234))</f>
        <v/>
      </c>
      <c r="Q234" s="6">
        <f>IF(I234="true",1,0)</f>
        <v/>
      </c>
      <c r="R234" s="7">
        <f>IF(K234="","",K234)</f>
        <v/>
      </c>
      <c r="S234" s="6">
        <f>IF(OR(H234="",H234&lt;8,H234&gt;72),"",J234)</f>
        <v/>
      </c>
      <c r="T234" s="6">
        <f>IF(OR(P234="lyrics",P234="instrumental"),1,IF(AND(P234="none",COUNTIFS($B$2:$B$479,B234,$P$2:$P$479,"none")&gt;=3),1,0))</f>
        <v/>
      </c>
    </row>
    <row r="235">
      <c r="A235" s="8" t="n">
        <v>81</v>
      </c>
      <c r="B235" s="9" t="inlineStr">
        <is>
          <t>Milo</t>
        </is>
      </c>
      <c r="C235" s="9" t="inlineStr">
        <is>
          <t>instrumental</t>
        </is>
      </c>
      <c r="D235" s="9" t="inlineStr">
        <is>
          <t>2026-10-10T17:49:06.035Z</t>
        </is>
      </c>
      <c r="E235" s="8" t="n">
        <v>2</v>
      </c>
      <c r="F235" s="9" t="inlineStr">
        <is>
          <t>6 2 6 9 5 2 6 5</t>
        </is>
      </c>
      <c r="G235" s="8" t="n">
        <v>41</v>
      </c>
      <c r="H235" s="8" t="n">
        <v>41</v>
      </c>
      <c r="I235" s="8" t="inlineStr">
        <is>
          <t>true</t>
        </is>
      </c>
      <c r="J235" s="8" t="n">
        <v>0</v>
      </c>
      <c r="K235" s="8" t="n">
        <v>2282</v>
      </c>
      <c r="L235" s="8" t="n">
        <v>8</v>
      </c>
      <c r="M235" s="10" t="n">
        <v>1.8</v>
      </c>
      <c r="N235" s="8" t="n">
        <v>1</v>
      </c>
      <c r="O235" s="8" t="n">
        <v>9</v>
      </c>
      <c r="P235" s="6">
        <f>LOWER(TRIM(C235))</f>
        <v/>
      </c>
      <c r="Q235" s="6">
        <f>IF(I235="true",1,0)</f>
        <v/>
      </c>
      <c r="R235" s="7">
        <f>IF(K235="","",K235)</f>
        <v/>
      </c>
      <c r="S235" s="6">
        <f>IF(OR(H235="",H235&lt;8,H235&gt;72),"",J235)</f>
        <v/>
      </c>
      <c r="T235" s="6">
        <f>IF(OR(P235="lyrics",P235="instrumental"),1,IF(AND(P235="none",COUNTIFS($B$2:$B$479,B235,$P$2:$P$479,"none")&gt;=3),1,0))</f>
        <v/>
      </c>
    </row>
    <row r="236">
      <c r="A236" s="3" t="n">
        <v>81</v>
      </c>
      <c r="B236" s="4" t="inlineStr">
        <is>
          <t>Milo</t>
        </is>
      </c>
      <c r="C236" s="4" t="inlineStr">
        <is>
          <t>instrumental</t>
        </is>
      </c>
      <c r="D236" s="4" t="inlineStr">
        <is>
          <t>2026-10-10T17:49:06.035Z</t>
        </is>
      </c>
      <c r="E236" s="3" t="n">
        <v>3</v>
      </c>
      <c r="F236" s="4" t="inlineStr">
        <is>
          <t>5 4 3 1 6 3 8 2</t>
        </is>
      </c>
      <c r="G236" s="3" t="n">
        <v>32</v>
      </c>
      <c r="H236" s="3" t="n">
        <v>32</v>
      </c>
      <c r="I236" s="3" t="inlineStr">
        <is>
          <t>true</t>
        </is>
      </c>
      <c r="J236" s="3" t="n">
        <v>0</v>
      </c>
      <c r="K236" s="3" t="n">
        <v>2252</v>
      </c>
      <c r="L236" s="3" t="n">
        <v>8</v>
      </c>
      <c r="M236" s="5" t="n">
        <v>1.8</v>
      </c>
      <c r="N236" s="3" t="n">
        <v>1</v>
      </c>
      <c r="O236" s="3" t="n">
        <v>9</v>
      </c>
      <c r="P236" s="6">
        <f>LOWER(TRIM(C236))</f>
        <v/>
      </c>
      <c r="Q236" s="6">
        <f>IF(I236="true",1,0)</f>
        <v/>
      </c>
      <c r="R236" s="7">
        <f>IF(K236="","",K236)</f>
        <v/>
      </c>
      <c r="S236" s="6">
        <f>IF(OR(H236="",H236&lt;8,H236&gt;72),"",J236)</f>
        <v/>
      </c>
      <c r="T236" s="6">
        <f>IF(OR(P236="lyrics",P236="instrumental"),1,IF(AND(P236="none",COUNTIFS($B$2:$B$479,B236,$P$2:$P$479,"none")&gt;=3),1,0))</f>
        <v/>
      </c>
    </row>
    <row r="237">
      <c r="A237" s="8" t="n">
        <v>82</v>
      </c>
      <c r="B237" s="9" t="inlineStr">
        <is>
          <t>Mila</t>
        </is>
      </c>
      <c r="C237" s="9" t="inlineStr">
        <is>
          <t>none</t>
        </is>
      </c>
      <c r="D237" s="9" t="inlineStr">
        <is>
          <t>2026-10-11T14:02:05.241Z</t>
        </is>
      </c>
      <c r="E237" s="8" t="n">
        <v>1</v>
      </c>
      <c r="F237" s="9" t="inlineStr">
        <is>
          <t>9 6 3 5 5 5 4 6</t>
        </is>
      </c>
      <c r="G237" s="8" t="n">
        <v>43</v>
      </c>
      <c r="H237" s="8" t="n">
        <v>42</v>
      </c>
      <c r="I237" s="8" t="inlineStr">
        <is>
          <t>false</t>
        </is>
      </c>
      <c r="J237" s="8" t="n">
        <v>1</v>
      </c>
      <c r="K237" s="8" t="n">
        <v>6922</v>
      </c>
      <c r="L237" s="8" t="n">
        <v>8</v>
      </c>
      <c r="M237" s="10" t="n">
        <v>1.8</v>
      </c>
      <c r="N237" s="8" t="n">
        <v>1</v>
      </c>
      <c r="O237" s="8" t="n">
        <v>9</v>
      </c>
      <c r="P237" s="6">
        <f>LOWER(TRIM(C237))</f>
        <v/>
      </c>
      <c r="Q237" s="6">
        <f>IF(I237="true",1,0)</f>
        <v/>
      </c>
      <c r="R237" s="7">
        <f>IF(K237="","",K237)</f>
        <v/>
      </c>
      <c r="S237" s="6">
        <f>IF(OR(H237="",H237&lt;8,H237&gt;72),"",J237)</f>
        <v/>
      </c>
      <c r="T237" s="6">
        <f>IF(OR(P237="lyrics",P237="instrumental"),1,IF(AND(P237="none",COUNTIFS($B$2:$B$479,B237,$P$2:$P$479,"none")&gt;=3),1,0))</f>
        <v/>
      </c>
    </row>
    <row r="238">
      <c r="A238" s="3" t="n">
        <v>82</v>
      </c>
      <c r="B238" s="4" t="inlineStr">
        <is>
          <t>Mila</t>
        </is>
      </c>
      <c r="C238" s="4" t="inlineStr">
        <is>
          <t>none</t>
        </is>
      </c>
      <c r="D238" s="4" t="inlineStr">
        <is>
          <t>2026-10-11T14:02:05.241Z</t>
        </is>
      </c>
      <c r="E238" s="3" t="n">
        <v>2</v>
      </c>
      <c r="F238" s="4" t="inlineStr">
        <is>
          <t>2 3 4 7 6 5 8 6</t>
        </is>
      </c>
      <c r="G238" s="3" t="n">
        <v>41</v>
      </c>
      <c r="H238" s="3" t="n">
        <v>41</v>
      </c>
      <c r="I238" s="3" t="inlineStr">
        <is>
          <t>true</t>
        </is>
      </c>
      <c r="J238" s="3" t="n">
        <v>0</v>
      </c>
      <c r="K238" s="3" t="n">
        <v>6090</v>
      </c>
      <c r="L238" s="3" t="n">
        <v>8</v>
      </c>
      <c r="M238" s="5" t="n">
        <v>1.8</v>
      </c>
      <c r="N238" s="3" t="n">
        <v>1</v>
      </c>
      <c r="O238" s="3" t="n">
        <v>9</v>
      </c>
      <c r="P238" s="6">
        <f>LOWER(TRIM(C238))</f>
        <v/>
      </c>
      <c r="Q238" s="6">
        <f>IF(I238="true",1,0)</f>
        <v/>
      </c>
      <c r="R238" s="7">
        <f>IF(K238="","",K238)</f>
        <v/>
      </c>
      <c r="S238" s="6">
        <f>IF(OR(H238="",H238&lt;8,H238&gt;72),"",J238)</f>
        <v/>
      </c>
      <c r="T238" s="6">
        <f>IF(OR(P238="lyrics",P238="instrumental"),1,IF(AND(P238="none",COUNTIFS($B$2:$B$479,B238,$P$2:$P$479,"none")&gt;=3),1,0))</f>
        <v/>
      </c>
    </row>
    <row r="239">
      <c r="A239" s="8" t="n">
        <v>83</v>
      </c>
      <c r="B239" s="9" t="inlineStr">
        <is>
          <t>Mila</t>
        </is>
      </c>
      <c r="C239" s="9" t="inlineStr">
        <is>
          <t>lyrics</t>
        </is>
      </c>
      <c r="D239" s="9" t="inlineStr">
        <is>
          <t>2026-10-11T14:04:10.944Z</t>
        </is>
      </c>
      <c r="E239" s="8" t="n">
        <v>1</v>
      </c>
      <c r="F239" s="9" t="inlineStr">
        <is>
          <t>2 9 7 1 1 3 3 9</t>
        </is>
      </c>
      <c r="G239" s="8" t="n">
        <v>35</v>
      </c>
      <c r="H239" s="8" t="n">
        <v>35</v>
      </c>
      <c r="I239" s="8" t="inlineStr">
        <is>
          <t>true</t>
        </is>
      </c>
      <c r="J239" s="8" t="n">
        <v>0</v>
      </c>
      <c r="K239" s="8" t="n">
        <v>3464</v>
      </c>
      <c r="L239" s="8" t="n">
        <v>8</v>
      </c>
      <c r="M239" s="10" t="n">
        <v>1.8</v>
      </c>
      <c r="N239" s="8" t="n">
        <v>1</v>
      </c>
      <c r="O239" s="8" t="n">
        <v>9</v>
      </c>
      <c r="P239" s="6">
        <f>LOWER(TRIM(C239))</f>
        <v/>
      </c>
      <c r="Q239" s="6">
        <f>IF(I239="true",1,0)</f>
        <v/>
      </c>
      <c r="R239" s="7">
        <f>IF(K239="","",K239)</f>
        <v/>
      </c>
      <c r="S239" s="6">
        <f>IF(OR(H239="",H239&lt;8,H239&gt;72),"",J239)</f>
        <v/>
      </c>
      <c r="T239" s="6">
        <f>IF(OR(P239="lyrics",P239="instrumental"),1,IF(AND(P239="none",COUNTIFS($B$2:$B$479,B239,$P$2:$P$479,"none")&gt;=3),1,0))</f>
        <v/>
      </c>
    </row>
    <row r="240">
      <c r="A240" s="3" t="n">
        <v>83</v>
      </c>
      <c r="B240" s="4" t="inlineStr">
        <is>
          <t>Mila</t>
        </is>
      </c>
      <c r="C240" s="4" t="inlineStr">
        <is>
          <t>lyrics</t>
        </is>
      </c>
      <c r="D240" s="4" t="inlineStr">
        <is>
          <t>2026-10-11T14:04:10.944Z</t>
        </is>
      </c>
      <c r="E240" s="3" t="n">
        <v>2</v>
      </c>
      <c r="F240" s="4" t="inlineStr">
        <is>
          <t>4 7 4 1 9 2 8 5</t>
        </is>
      </c>
      <c r="G240" s="3" t="n">
        <v>40</v>
      </c>
      <c r="H240" s="3" t="n">
        <v>43</v>
      </c>
      <c r="I240" s="3" t="inlineStr">
        <is>
          <t>false</t>
        </is>
      </c>
      <c r="J240" s="3" t="n">
        <v>3</v>
      </c>
      <c r="K240" s="3" t="n">
        <v>3744</v>
      </c>
      <c r="L240" s="3" t="n">
        <v>8</v>
      </c>
      <c r="M240" s="5" t="n">
        <v>1.8</v>
      </c>
      <c r="N240" s="3" t="n">
        <v>1</v>
      </c>
      <c r="O240" s="3" t="n">
        <v>9</v>
      </c>
      <c r="P240" s="6">
        <f>LOWER(TRIM(C240))</f>
        <v/>
      </c>
      <c r="Q240" s="6">
        <f>IF(I240="true",1,0)</f>
        <v/>
      </c>
      <c r="R240" s="7">
        <f>IF(K240="","",K240)</f>
        <v/>
      </c>
      <c r="S240" s="6">
        <f>IF(OR(H240="",H240&lt;8,H240&gt;72),"",J240)</f>
        <v/>
      </c>
      <c r="T240" s="6">
        <f>IF(OR(P240="lyrics",P240="instrumental"),1,IF(AND(P240="none",COUNTIFS($B$2:$B$479,B240,$P$2:$P$479,"none")&gt;=3),1,0))</f>
        <v/>
      </c>
    </row>
    <row r="241">
      <c r="A241" s="8" t="n">
        <v>83</v>
      </c>
      <c r="B241" s="9" t="inlineStr">
        <is>
          <t>Mila</t>
        </is>
      </c>
      <c r="C241" s="9" t="inlineStr">
        <is>
          <t>lyrics</t>
        </is>
      </c>
      <c r="D241" s="9" t="inlineStr">
        <is>
          <t>2026-10-11T14:04:10.944Z</t>
        </is>
      </c>
      <c r="E241" s="8" t="n">
        <v>3</v>
      </c>
      <c r="F241" s="9" t="inlineStr">
        <is>
          <t>8 8 8 4 2 8 5 5</t>
        </is>
      </c>
      <c r="G241" s="8" t="n">
        <v>48</v>
      </c>
      <c r="H241" s="8" t="n">
        <v>52</v>
      </c>
      <c r="I241" s="8" t="inlineStr">
        <is>
          <t>false</t>
        </is>
      </c>
      <c r="J241" s="8" t="n">
        <v>4</v>
      </c>
      <c r="K241" s="8" t="n">
        <v>4747</v>
      </c>
      <c r="L241" s="8" t="n">
        <v>8</v>
      </c>
      <c r="M241" s="10" t="n">
        <v>1.8</v>
      </c>
      <c r="N241" s="8" t="n">
        <v>1</v>
      </c>
      <c r="O241" s="8" t="n">
        <v>9</v>
      </c>
      <c r="P241" s="6">
        <f>LOWER(TRIM(C241))</f>
        <v/>
      </c>
      <c r="Q241" s="6">
        <f>IF(I241="true",1,0)</f>
        <v/>
      </c>
      <c r="R241" s="7">
        <f>IF(K241="","",K241)</f>
        <v/>
      </c>
      <c r="S241" s="6">
        <f>IF(OR(H241="",H241&lt;8,H241&gt;72),"",J241)</f>
        <v/>
      </c>
      <c r="T241" s="6">
        <f>IF(OR(P241="lyrics",P241="instrumental"),1,IF(AND(P241="none",COUNTIFS($B$2:$B$479,B241,$P$2:$P$479,"none")&gt;=3),1,0))</f>
        <v/>
      </c>
    </row>
    <row r="242">
      <c r="A242" s="3" t="n">
        <v>84</v>
      </c>
      <c r="B242" s="4" t="inlineStr">
        <is>
          <t>Mila</t>
        </is>
      </c>
      <c r="C242" s="4" t="inlineStr">
        <is>
          <t>lyrics</t>
        </is>
      </c>
      <c r="D242" s="4" t="inlineStr">
        <is>
          <t>2026-10-11T14:05:25.722Z</t>
        </is>
      </c>
      <c r="E242" s="3" t="n">
        <v>1</v>
      </c>
      <c r="F242" s="4" t="inlineStr">
        <is>
          <t>6 2 9 5 5 3 1 8</t>
        </is>
      </c>
      <c r="G242" s="3" t="n">
        <v>39</v>
      </c>
      <c r="H242" s="3" t="n">
        <v>40</v>
      </c>
      <c r="I242" s="3" t="inlineStr">
        <is>
          <t>false</t>
        </is>
      </c>
      <c r="J242" s="3" t="n">
        <v>1</v>
      </c>
      <c r="K242" s="3" t="n">
        <v>2495</v>
      </c>
      <c r="L242" s="3" t="n">
        <v>8</v>
      </c>
      <c r="M242" s="5" t="n">
        <v>1.8</v>
      </c>
      <c r="N242" s="3" t="n">
        <v>1</v>
      </c>
      <c r="O242" s="3" t="n">
        <v>9</v>
      </c>
      <c r="P242" s="6">
        <f>LOWER(TRIM(C242))</f>
        <v/>
      </c>
      <c r="Q242" s="6">
        <f>IF(I242="true",1,0)</f>
        <v/>
      </c>
      <c r="R242" s="7">
        <f>IF(K242="","",K242)</f>
        <v/>
      </c>
      <c r="S242" s="6">
        <f>IF(OR(H242="",H242&lt;8,H242&gt;72),"",J242)</f>
        <v/>
      </c>
      <c r="T242" s="6">
        <f>IF(OR(P242="lyrics",P242="instrumental"),1,IF(AND(P242="none",COUNTIFS($B$2:$B$479,B242,$P$2:$P$479,"none")&gt;=3),1,0))</f>
        <v/>
      </c>
    </row>
    <row r="243">
      <c r="A243" s="8" t="n">
        <v>84</v>
      </c>
      <c r="B243" s="9" t="inlineStr">
        <is>
          <t>Mila</t>
        </is>
      </c>
      <c r="C243" s="9" t="inlineStr">
        <is>
          <t>lyrics</t>
        </is>
      </c>
      <c r="D243" s="9" t="inlineStr">
        <is>
          <t>2026-10-11T14:05:25.722Z</t>
        </is>
      </c>
      <c r="E243" s="8" t="n">
        <v>2</v>
      </c>
      <c r="F243" s="9" t="inlineStr">
        <is>
          <t>5 6 1 9 2 5 1 1</t>
        </is>
      </c>
      <c r="G243" s="8" t="n">
        <v>30</v>
      </c>
      <c r="H243" s="8" t="n">
        <v>30</v>
      </c>
      <c r="I243" s="8" t="inlineStr">
        <is>
          <t>true</t>
        </is>
      </c>
      <c r="J243" s="8" t="n">
        <v>0</v>
      </c>
      <c r="K243" s="8" t="n">
        <v>1967</v>
      </c>
      <c r="L243" s="8" t="n">
        <v>8</v>
      </c>
      <c r="M243" s="10" t="n">
        <v>1.8</v>
      </c>
      <c r="N243" s="8" t="n">
        <v>1</v>
      </c>
      <c r="O243" s="8" t="n">
        <v>9</v>
      </c>
      <c r="P243" s="6">
        <f>LOWER(TRIM(C243))</f>
        <v/>
      </c>
      <c r="Q243" s="6">
        <f>IF(I243="true",1,0)</f>
        <v/>
      </c>
      <c r="R243" s="7">
        <f>IF(K243="","",K243)</f>
        <v/>
      </c>
      <c r="S243" s="6">
        <f>IF(OR(H243="",H243&lt;8,H243&gt;72),"",J243)</f>
        <v/>
      </c>
      <c r="T243" s="6">
        <f>IF(OR(P243="lyrics",P243="instrumental"),1,IF(AND(P243="none",COUNTIFS($B$2:$B$479,B243,$P$2:$P$479,"none")&gt;=3),1,0))</f>
        <v/>
      </c>
    </row>
    <row r="244">
      <c r="A244" s="3" t="n">
        <v>84</v>
      </c>
      <c r="B244" s="4" t="inlineStr">
        <is>
          <t>Mila</t>
        </is>
      </c>
      <c r="C244" s="4" t="inlineStr">
        <is>
          <t>lyrics</t>
        </is>
      </c>
      <c r="D244" s="4" t="inlineStr">
        <is>
          <t>2026-10-11T14:05:25.722Z</t>
        </is>
      </c>
      <c r="E244" s="3" t="n">
        <v>3</v>
      </c>
      <c r="F244" s="4" t="inlineStr">
        <is>
          <t>8 3 3 3 7 4 8 2</t>
        </is>
      </c>
      <c r="G244" s="3" t="n">
        <v>38</v>
      </c>
      <c r="H244" s="3" t="n">
        <v>38</v>
      </c>
      <c r="I244" s="3" t="inlineStr">
        <is>
          <t>true</t>
        </is>
      </c>
      <c r="J244" s="3" t="n">
        <v>0</v>
      </c>
      <c r="K244" s="3" t="n">
        <v>1787</v>
      </c>
      <c r="L244" s="3" t="n">
        <v>8</v>
      </c>
      <c r="M244" s="5" t="n">
        <v>1.8</v>
      </c>
      <c r="N244" s="3" t="n">
        <v>1</v>
      </c>
      <c r="O244" s="3" t="n">
        <v>9</v>
      </c>
      <c r="P244" s="6">
        <f>LOWER(TRIM(C244))</f>
        <v/>
      </c>
      <c r="Q244" s="6">
        <f>IF(I244="true",1,0)</f>
        <v/>
      </c>
      <c r="R244" s="7">
        <f>IF(K244="","",K244)</f>
        <v/>
      </c>
      <c r="S244" s="6">
        <f>IF(OR(H244="",H244&lt;8,H244&gt;72),"",J244)</f>
        <v/>
      </c>
      <c r="T244" s="6">
        <f>IF(OR(P244="lyrics",P244="instrumental"),1,IF(AND(P244="none",COUNTIFS($B$2:$B$479,B244,$P$2:$P$479,"none")&gt;=3),1,0))</f>
        <v/>
      </c>
    </row>
    <row r="245">
      <c r="A245" s="8" t="n">
        <v>85</v>
      </c>
      <c r="B245" s="9" t="inlineStr">
        <is>
          <t>Mila</t>
        </is>
      </c>
      <c r="C245" s="9" t="inlineStr">
        <is>
          <t>lyrics</t>
        </is>
      </c>
      <c r="D245" s="9" t="inlineStr">
        <is>
          <t>2026-10-11T14:06:42.972Z</t>
        </is>
      </c>
      <c r="E245" s="8" t="n">
        <v>1</v>
      </c>
      <c r="F245" s="9" t="inlineStr">
        <is>
          <t>6 6 9 8 2 4 6 9</t>
        </is>
      </c>
      <c r="G245" s="8" t="n">
        <v>50</v>
      </c>
      <c r="H245" s="8" t="n">
        <v>47</v>
      </c>
      <c r="I245" s="8" t="inlineStr">
        <is>
          <t>false</t>
        </is>
      </c>
      <c r="J245" s="8" t="n">
        <v>3</v>
      </c>
      <c r="K245" s="8" t="n">
        <v>4685</v>
      </c>
      <c r="L245" s="8" t="n">
        <v>8</v>
      </c>
      <c r="M245" s="10" t="n">
        <v>1.8</v>
      </c>
      <c r="N245" s="8" t="n">
        <v>1</v>
      </c>
      <c r="O245" s="8" t="n">
        <v>9</v>
      </c>
      <c r="P245" s="6">
        <f>LOWER(TRIM(C245))</f>
        <v/>
      </c>
      <c r="Q245" s="6">
        <f>IF(I245="true",1,0)</f>
        <v/>
      </c>
      <c r="R245" s="7">
        <f>IF(K245="","",K245)</f>
        <v/>
      </c>
      <c r="S245" s="6">
        <f>IF(OR(H245="",H245&lt;8,H245&gt;72),"",J245)</f>
        <v/>
      </c>
      <c r="T245" s="6">
        <f>IF(OR(P245="lyrics",P245="instrumental"),1,IF(AND(P245="none",COUNTIFS($B$2:$B$479,B245,$P$2:$P$479,"none")&gt;=3),1,0))</f>
        <v/>
      </c>
    </row>
    <row r="246">
      <c r="A246" s="3" t="n">
        <v>85</v>
      </c>
      <c r="B246" s="4" t="inlineStr">
        <is>
          <t>Mila</t>
        </is>
      </c>
      <c r="C246" s="4" t="inlineStr">
        <is>
          <t>lyrics</t>
        </is>
      </c>
      <c r="D246" s="4" t="inlineStr">
        <is>
          <t>2026-10-11T14:06:42.972Z</t>
        </is>
      </c>
      <c r="E246" s="3" t="n">
        <v>2</v>
      </c>
      <c r="F246" s="4" t="inlineStr">
        <is>
          <t>6 6 6 3 4 1 3 7</t>
        </is>
      </c>
      <c r="G246" s="3" t="n">
        <v>36</v>
      </c>
      <c r="H246" s="3" t="n">
        <v>49</v>
      </c>
      <c r="I246" s="3" t="inlineStr">
        <is>
          <t>false</t>
        </is>
      </c>
      <c r="J246" s="3" t="n">
        <v>13</v>
      </c>
      <c r="K246" s="3" t="n">
        <v>4995</v>
      </c>
      <c r="L246" s="3" t="n">
        <v>8</v>
      </c>
      <c r="M246" s="5" t="n">
        <v>1.8</v>
      </c>
      <c r="N246" s="3" t="n">
        <v>1</v>
      </c>
      <c r="O246" s="3" t="n">
        <v>9</v>
      </c>
      <c r="P246" s="6">
        <f>LOWER(TRIM(C246))</f>
        <v/>
      </c>
      <c r="Q246" s="6">
        <f>IF(I246="true",1,0)</f>
        <v/>
      </c>
      <c r="R246" s="7">
        <f>IF(K246="","",K246)</f>
        <v/>
      </c>
      <c r="S246" s="6">
        <f>IF(OR(H246="",H246&lt;8,H246&gt;72),"",J246)</f>
        <v/>
      </c>
      <c r="T246" s="6">
        <f>IF(OR(P246="lyrics",P246="instrumental"),1,IF(AND(P246="none",COUNTIFS($B$2:$B$479,B246,$P$2:$P$479,"none")&gt;=3),1,0))</f>
        <v/>
      </c>
    </row>
    <row r="247">
      <c r="A247" s="8" t="n">
        <v>85</v>
      </c>
      <c r="B247" s="9" t="inlineStr">
        <is>
          <t>Mila</t>
        </is>
      </c>
      <c r="C247" s="9" t="inlineStr">
        <is>
          <t>lyrics</t>
        </is>
      </c>
      <c r="D247" s="9" t="inlineStr">
        <is>
          <t>2026-10-11T14:06:42.972Z</t>
        </is>
      </c>
      <c r="E247" s="8" t="n">
        <v>3</v>
      </c>
      <c r="F247" s="9" t="inlineStr">
        <is>
          <t>6 7 6 4 1 5 7 6</t>
        </is>
      </c>
      <c r="G247" s="8" t="n">
        <v>42</v>
      </c>
      <c r="H247" s="8" t="n">
        <v>43</v>
      </c>
      <c r="I247" s="8" t="inlineStr">
        <is>
          <t>false</t>
        </is>
      </c>
      <c r="J247" s="8" t="n">
        <v>1</v>
      </c>
      <c r="K247" s="8" t="n"/>
      <c r="L247" s="8" t="n">
        <v>8</v>
      </c>
      <c r="M247" s="10" t="n">
        <v>1.8</v>
      </c>
      <c r="N247" s="8" t="n">
        <v>1</v>
      </c>
      <c r="O247" s="8" t="n">
        <v>9</v>
      </c>
      <c r="P247" s="6">
        <f>LOWER(TRIM(C247))</f>
        <v/>
      </c>
      <c r="Q247" s="6">
        <f>IF(I247="true",1,0)</f>
        <v/>
      </c>
      <c r="R247" s="7">
        <f>IF(K247="","",K247)</f>
        <v/>
      </c>
      <c r="S247" s="6">
        <f>IF(OR(H247="",H247&lt;8,H247&gt;72),"",J247)</f>
        <v/>
      </c>
      <c r="T247" s="6">
        <f>IF(OR(P247="lyrics",P247="instrumental"),1,IF(AND(P247="none",COUNTIFS($B$2:$B$479,B247,$P$2:$P$479,"none")&gt;=3),1,0))</f>
        <v/>
      </c>
    </row>
    <row r="248">
      <c r="A248" s="3" t="n">
        <v>86</v>
      </c>
      <c r="B248" s="4" t="inlineStr">
        <is>
          <t>Mila</t>
        </is>
      </c>
      <c r="C248" s="4" t="inlineStr">
        <is>
          <t>instrumental</t>
        </is>
      </c>
      <c r="D248" s="4" t="inlineStr">
        <is>
          <t>2026-10-11T14:08:06.800Z</t>
        </is>
      </c>
      <c r="E248" s="3" t="n">
        <v>1</v>
      </c>
      <c r="F248" s="4" t="inlineStr">
        <is>
          <t>8 6 9 2 6 6 7 6</t>
        </is>
      </c>
      <c r="G248" s="3" t="n">
        <v>50</v>
      </c>
      <c r="H248" s="3" t="n">
        <v>48</v>
      </c>
      <c r="I248" s="3" t="inlineStr">
        <is>
          <t>false</t>
        </is>
      </c>
      <c r="J248" s="3" t="n">
        <v>2</v>
      </c>
      <c r="K248" s="3" t="n"/>
      <c r="L248" s="3" t="n">
        <v>8</v>
      </c>
      <c r="M248" s="5" t="n">
        <v>1.8</v>
      </c>
      <c r="N248" s="3" t="n">
        <v>1</v>
      </c>
      <c r="O248" s="3" t="n">
        <v>9</v>
      </c>
      <c r="P248" s="6">
        <f>LOWER(TRIM(C248))</f>
        <v/>
      </c>
      <c r="Q248" s="6">
        <f>IF(I248="true",1,0)</f>
        <v/>
      </c>
      <c r="R248" s="7">
        <f>IF(K248="","",K248)</f>
        <v/>
      </c>
      <c r="S248" s="6">
        <f>IF(OR(H248="",H248&lt;8,H248&gt;72),"",J248)</f>
        <v/>
      </c>
      <c r="T248" s="6">
        <f>IF(OR(P248="lyrics",P248="instrumental"),1,IF(AND(P248="none",COUNTIFS($B$2:$B$479,B248,$P$2:$P$479,"none")&gt;=3),1,0))</f>
        <v/>
      </c>
    </row>
    <row r="249">
      <c r="A249" s="8" t="n">
        <v>86</v>
      </c>
      <c r="B249" s="9" t="inlineStr">
        <is>
          <t>Mila</t>
        </is>
      </c>
      <c r="C249" s="9" t="inlineStr">
        <is>
          <t>instrumental</t>
        </is>
      </c>
      <c r="D249" s="9" t="inlineStr">
        <is>
          <t>2026-10-11T14:08:06.800Z</t>
        </is>
      </c>
      <c r="E249" s="8" t="n">
        <v>2</v>
      </c>
      <c r="F249" s="9" t="inlineStr">
        <is>
          <t>2 8 4 1 3 4 4 8</t>
        </is>
      </c>
      <c r="G249" s="8" t="n">
        <v>34</v>
      </c>
      <c r="H249" s="8" t="n">
        <v>34</v>
      </c>
      <c r="I249" s="8" t="inlineStr">
        <is>
          <t>true</t>
        </is>
      </c>
      <c r="J249" s="8" t="n">
        <v>0</v>
      </c>
      <c r="K249" s="8" t="n"/>
      <c r="L249" s="8" t="n">
        <v>8</v>
      </c>
      <c r="M249" s="10" t="n">
        <v>1.8</v>
      </c>
      <c r="N249" s="8" t="n">
        <v>1</v>
      </c>
      <c r="O249" s="8" t="n">
        <v>9</v>
      </c>
      <c r="P249" s="6">
        <f>LOWER(TRIM(C249))</f>
        <v/>
      </c>
      <c r="Q249" s="6">
        <f>IF(I249="true",1,0)</f>
        <v/>
      </c>
      <c r="R249" s="7">
        <f>IF(K249="","",K249)</f>
        <v/>
      </c>
      <c r="S249" s="6">
        <f>IF(OR(H249="",H249&lt;8,H249&gt;72),"",J249)</f>
        <v/>
      </c>
      <c r="T249" s="6">
        <f>IF(OR(P249="lyrics",P249="instrumental"),1,IF(AND(P249="none",COUNTIFS($B$2:$B$479,B249,$P$2:$P$479,"none")&gt;=3),1,0))</f>
        <v/>
      </c>
    </row>
    <row r="250">
      <c r="A250" s="3" t="n">
        <v>86</v>
      </c>
      <c r="B250" s="4" t="inlineStr">
        <is>
          <t>Mila</t>
        </is>
      </c>
      <c r="C250" s="4" t="inlineStr">
        <is>
          <t>instrumental</t>
        </is>
      </c>
      <c r="D250" s="4" t="inlineStr">
        <is>
          <t>2026-10-11T14:08:06.800Z</t>
        </is>
      </c>
      <c r="E250" s="3" t="n">
        <v>3</v>
      </c>
      <c r="F250" s="4" t="inlineStr">
        <is>
          <t>2 1 3 4 6 3 9 8</t>
        </is>
      </c>
      <c r="G250" s="3" t="n">
        <v>36</v>
      </c>
      <c r="H250" s="3" t="n">
        <v>36</v>
      </c>
      <c r="I250" s="3" t="inlineStr">
        <is>
          <t>true</t>
        </is>
      </c>
      <c r="J250" s="3" t="n">
        <v>0</v>
      </c>
      <c r="K250" s="3" t="n">
        <v>2322</v>
      </c>
      <c r="L250" s="3" t="n">
        <v>8</v>
      </c>
      <c r="M250" s="5" t="n">
        <v>1.8</v>
      </c>
      <c r="N250" s="3" t="n">
        <v>1</v>
      </c>
      <c r="O250" s="3" t="n">
        <v>9</v>
      </c>
      <c r="P250" s="6">
        <f>LOWER(TRIM(C250))</f>
        <v/>
      </c>
      <c r="Q250" s="6">
        <f>IF(I250="true",1,0)</f>
        <v/>
      </c>
      <c r="R250" s="7">
        <f>IF(K250="","",K250)</f>
        <v/>
      </c>
      <c r="S250" s="6">
        <f>IF(OR(H250="",H250&lt;8,H250&gt;72),"",J250)</f>
        <v/>
      </c>
      <c r="T250" s="6">
        <f>IF(OR(P250="lyrics",P250="instrumental"),1,IF(AND(P250="none",COUNTIFS($B$2:$B$479,B250,$P$2:$P$479,"none")&gt;=3),1,0))</f>
        <v/>
      </c>
    </row>
    <row r="251">
      <c r="A251" s="8" t="n">
        <v>87</v>
      </c>
      <c r="B251" s="9" t="inlineStr">
        <is>
          <t>Mila</t>
        </is>
      </c>
      <c r="C251" s="9" t="inlineStr">
        <is>
          <t>instrumental</t>
        </is>
      </c>
      <c r="D251" s="9" t="inlineStr">
        <is>
          <t>2026-10-11T14:09:14.573Z</t>
        </is>
      </c>
      <c r="E251" s="8" t="n">
        <v>1</v>
      </c>
      <c r="F251" s="9" t="inlineStr">
        <is>
          <t>9 1 2 9 7 3 7 6</t>
        </is>
      </c>
      <c r="G251" s="8" t="n">
        <v>44</v>
      </c>
      <c r="H251" s="8" t="n">
        <v>46</v>
      </c>
      <c r="I251" s="8" t="inlineStr">
        <is>
          <t>false</t>
        </is>
      </c>
      <c r="J251" s="8" t="n">
        <v>2</v>
      </c>
      <c r="K251" s="8" t="n">
        <v>4166</v>
      </c>
      <c r="L251" s="8" t="n">
        <v>8</v>
      </c>
      <c r="M251" s="10" t="n">
        <v>1.8</v>
      </c>
      <c r="N251" s="8" t="n">
        <v>1</v>
      </c>
      <c r="O251" s="8" t="n">
        <v>9</v>
      </c>
      <c r="P251" s="6">
        <f>LOWER(TRIM(C251))</f>
        <v/>
      </c>
      <c r="Q251" s="6">
        <f>IF(I251="true",1,0)</f>
        <v/>
      </c>
      <c r="R251" s="7">
        <f>IF(K251="","",K251)</f>
        <v/>
      </c>
      <c r="S251" s="6">
        <f>IF(OR(H251="",H251&lt;8,H251&gt;72),"",J251)</f>
        <v/>
      </c>
      <c r="T251" s="6">
        <f>IF(OR(P251="lyrics",P251="instrumental"),1,IF(AND(P251="none",COUNTIFS($B$2:$B$479,B251,$P$2:$P$479,"none")&gt;=3),1,0))</f>
        <v/>
      </c>
    </row>
    <row r="252">
      <c r="A252" s="3" t="n">
        <v>87</v>
      </c>
      <c r="B252" s="4" t="inlineStr">
        <is>
          <t>Mila</t>
        </is>
      </c>
      <c r="C252" s="4" t="inlineStr">
        <is>
          <t>instrumental</t>
        </is>
      </c>
      <c r="D252" s="4" t="inlineStr">
        <is>
          <t>2026-10-11T14:09:14.573Z</t>
        </is>
      </c>
      <c r="E252" s="3" t="n">
        <v>2</v>
      </c>
      <c r="F252" s="4" t="inlineStr">
        <is>
          <t>6 1 5 4 5 9 9 2</t>
        </is>
      </c>
      <c r="G252" s="3" t="n">
        <v>41</v>
      </c>
      <c r="H252" s="3" t="n">
        <v>41</v>
      </c>
      <c r="I252" s="3" t="inlineStr">
        <is>
          <t>true</t>
        </is>
      </c>
      <c r="J252" s="3" t="n">
        <v>0</v>
      </c>
      <c r="K252" s="3" t="n">
        <v>1454</v>
      </c>
      <c r="L252" s="3" t="n">
        <v>8</v>
      </c>
      <c r="M252" s="5" t="n">
        <v>1.8</v>
      </c>
      <c r="N252" s="3" t="n">
        <v>1</v>
      </c>
      <c r="O252" s="3" t="n">
        <v>9</v>
      </c>
      <c r="P252" s="6">
        <f>LOWER(TRIM(C252))</f>
        <v/>
      </c>
      <c r="Q252" s="6">
        <f>IF(I252="true",1,0)</f>
        <v/>
      </c>
      <c r="R252" s="7">
        <f>IF(K252="","",K252)</f>
        <v/>
      </c>
      <c r="S252" s="6">
        <f>IF(OR(H252="",H252&lt;8,H252&gt;72),"",J252)</f>
        <v/>
      </c>
      <c r="T252" s="6">
        <f>IF(OR(P252="lyrics",P252="instrumental"),1,IF(AND(P252="none",COUNTIFS($B$2:$B$479,B252,$P$2:$P$479,"none")&gt;=3),1,0))</f>
        <v/>
      </c>
    </row>
    <row r="253">
      <c r="A253" s="8" t="n">
        <v>87</v>
      </c>
      <c r="B253" s="9" t="inlineStr">
        <is>
          <t>Mila</t>
        </is>
      </c>
      <c r="C253" s="9" t="inlineStr">
        <is>
          <t>instrumental</t>
        </is>
      </c>
      <c r="D253" s="9" t="inlineStr">
        <is>
          <t>2026-10-11T14:09:14.573Z</t>
        </is>
      </c>
      <c r="E253" s="8" t="n">
        <v>3</v>
      </c>
      <c r="F253" s="9" t="inlineStr">
        <is>
          <t>3 6 3 8 2 1 5 5</t>
        </is>
      </c>
      <c r="G253" s="8" t="n">
        <v>33</v>
      </c>
      <c r="H253" s="8" t="n">
        <v>42</v>
      </c>
      <c r="I253" s="8" t="inlineStr">
        <is>
          <t>false</t>
        </is>
      </c>
      <c r="J253" s="8" t="n">
        <v>9</v>
      </c>
      <c r="K253" s="8" t="n">
        <v>4072</v>
      </c>
      <c r="L253" s="8" t="n">
        <v>8</v>
      </c>
      <c r="M253" s="10" t="n">
        <v>1.8</v>
      </c>
      <c r="N253" s="8" t="n">
        <v>1</v>
      </c>
      <c r="O253" s="8" t="n">
        <v>9</v>
      </c>
      <c r="P253" s="6">
        <f>LOWER(TRIM(C253))</f>
        <v/>
      </c>
      <c r="Q253" s="6">
        <f>IF(I253="true",1,0)</f>
        <v/>
      </c>
      <c r="R253" s="7">
        <f>IF(K253="","",K253)</f>
        <v/>
      </c>
      <c r="S253" s="6">
        <f>IF(OR(H253="",H253&lt;8,H253&gt;72),"",J253)</f>
        <v/>
      </c>
      <c r="T253" s="6">
        <f>IF(OR(P253="lyrics",P253="instrumental"),1,IF(AND(P253="none",COUNTIFS($B$2:$B$479,B253,$P$2:$P$479,"none")&gt;=3),1,0))</f>
        <v/>
      </c>
    </row>
    <row r="254">
      <c r="A254" s="3" t="n">
        <v>88</v>
      </c>
      <c r="B254" s="4" t="inlineStr">
        <is>
          <t>Mila</t>
        </is>
      </c>
      <c r="C254" s="4" t="inlineStr">
        <is>
          <t>instrumental</t>
        </is>
      </c>
      <c r="D254" s="4" t="inlineStr">
        <is>
          <t>2026-10-11T14:10:36.304Z</t>
        </is>
      </c>
      <c r="E254" s="3" t="n">
        <v>1</v>
      </c>
      <c r="F254" s="4" t="inlineStr">
        <is>
          <t>1 5 9 7 4 4 6 4</t>
        </is>
      </c>
      <c r="G254" s="3" t="n">
        <v>40</v>
      </c>
      <c r="H254" s="3" t="n">
        <v>39</v>
      </c>
      <c r="I254" s="3" t="inlineStr">
        <is>
          <t>false</t>
        </is>
      </c>
      <c r="J254" s="3" t="n">
        <v>1</v>
      </c>
      <c r="K254" s="3" t="n">
        <v>1310</v>
      </c>
      <c r="L254" s="3" t="n">
        <v>8</v>
      </c>
      <c r="M254" s="5" t="n">
        <v>1.8</v>
      </c>
      <c r="N254" s="3" t="n">
        <v>1</v>
      </c>
      <c r="O254" s="3" t="n">
        <v>9</v>
      </c>
      <c r="P254" s="6">
        <f>LOWER(TRIM(C254))</f>
        <v/>
      </c>
      <c r="Q254" s="6">
        <f>IF(I254="true",1,0)</f>
        <v/>
      </c>
      <c r="R254" s="7">
        <f>IF(K254="","",K254)</f>
        <v/>
      </c>
      <c r="S254" s="6">
        <f>IF(OR(H254="",H254&lt;8,H254&gt;72),"",J254)</f>
        <v/>
      </c>
      <c r="T254" s="6">
        <f>IF(OR(P254="lyrics",P254="instrumental"),1,IF(AND(P254="none",COUNTIFS($B$2:$B$479,B254,$P$2:$P$479,"none")&gt;=3),1,0))</f>
        <v/>
      </c>
    </row>
    <row r="255">
      <c r="A255" s="8" t="n">
        <v>88</v>
      </c>
      <c r="B255" s="9" t="inlineStr">
        <is>
          <t>Mila</t>
        </is>
      </c>
      <c r="C255" s="9" t="inlineStr">
        <is>
          <t>instrumental</t>
        </is>
      </c>
      <c r="D255" s="9" t="inlineStr">
        <is>
          <t>2026-10-11T14:10:36.304Z</t>
        </is>
      </c>
      <c r="E255" s="8" t="n">
        <v>2</v>
      </c>
      <c r="F255" s="9" t="inlineStr">
        <is>
          <t>1 1 2 1 2 4 7 6</t>
        </is>
      </c>
      <c r="G255" s="8" t="n">
        <v>24</v>
      </c>
      <c r="H255" s="8" t="n">
        <v>24</v>
      </c>
      <c r="I255" s="8" t="inlineStr">
        <is>
          <t>true</t>
        </is>
      </c>
      <c r="J255" s="8" t="n">
        <v>0</v>
      </c>
      <c r="K255" s="8" t="n">
        <v>4065</v>
      </c>
      <c r="L255" s="8" t="n">
        <v>8</v>
      </c>
      <c r="M255" s="10" t="n">
        <v>1.8</v>
      </c>
      <c r="N255" s="8" t="n">
        <v>1</v>
      </c>
      <c r="O255" s="8" t="n">
        <v>9</v>
      </c>
      <c r="P255" s="6">
        <f>LOWER(TRIM(C255))</f>
        <v/>
      </c>
      <c r="Q255" s="6">
        <f>IF(I255="true",1,0)</f>
        <v/>
      </c>
      <c r="R255" s="7">
        <f>IF(K255="","",K255)</f>
        <v/>
      </c>
      <c r="S255" s="6">
        <f>IF(OR(H255="",H255&lt;8,H255&gt;72),"",J255)</f>
        <v/>
      </c>
      <c r="T255" s="6">
        <f>IF(OR(P255="lyrics",P255="instrumental"),1,IF(AND(P255="none",COUNTIFS($B$2:$B$479,B255,$P$2:$P$479,"none")&gt;=3),1,0))</f>
        <v/>
      </c>
    </row>
    <row r="256">
      <c r="A256" s="3" t="n">
        <v>88</v>
      </c>
      <c r="B256" s="4" t="inlineStr">
        <is>
          <t>Mila</t>
        </is>
      </c>
      <c r="C256" s="4" t="inlineStr">
        <is>
          <t>instrumental</t>
        </is>
      </c>
      <c r="D256" s="4" t="inlineStr">
        <is>
          <t>2026-10-11T14:10:36.304Z</t>
        </is>
      </c>
      <c r="E256" s="3" t="n">
        <v>3</v>
      </c>
      <c r="F256" s="4" t="inlineStr">
        <is>
          <t>9 7 5 5 7 1 6 7</t>
        </is>
      </c>
      <c r="G256" s="3" t="n">
        <v>47</v>
      </c>
      <c r="H256" s="3" t="n">
        <v>47</v>
      </c>
      <c r="I256" s="3" t="inlineStr">
        <is>
          <t>true</t>
        </is>
      </c>
      <c r="J256" s="3" t="n">
        <v>0</v>
      </c>
      <c r="K256" s="3" t="n">
        <v>1100</v>
      </c>
      <c r="L256" s="3" t="n">
        <v>8</v>
      </c>
      <c r="M256" s="5" t="n">
        <v>1.8</v>
      </c>
      <c r="N256" s="3" t="n">
        <v>1</v>
      </c>
      <c r="O256" s="3" t="n">
        <v>9</v>
      </c>
      <c r="P256" s="6">
        <f>LOWER(TRIM(C256))</f>
        <v/>
      </c>
      <c r="Q256" s="6">
        <f>IF(I256="true",1,0)</f>
        <v/>
      </c>
      <c r="R256" s="7">
        <f>IF(K256="","",K256)</f>
        <v/>
      </c>
      <c r="S256" s="6">
        <f>IF(OR(H256="",H256&lt;8,H256&gt;72),"",J256)</f>
        <v/>
      </c>
      <c r="T256" s="6">
        <f>IF(OR(P256="lyrics",P256="instrumental"),1,IF(AND(P256="none",COUNTIFS($B$2:$B$479,B256,$P$2:$P$479,"none")&gt;=3),1,0))</f>
        <v/>
      </c>
    </row>
    <row r="257">
      <c r="A257" s="8" t="n">
        <v>89</v>
      </c>
      <c r="B257" s="9" t="inlineStr">
        <is>
          <t>benjamin</t>
        </is>
      </c>
      <c r="C257" s="9" t="inlineStr">
        <is>
          <t>none</t>
        </is>
      </c>
      <c r="D257" s="9" t="inlineStr">
        <is>
          <t>2026-10-11T14:16:19.189Z</t>
        </is>
      </c>
      <c r="E257" s="8" t="n">
        <v>1</v>
      </c>
      <c r="F257" s="9" t="inlineStr">
        <is>
          <t>3 3 6 6 6 8 5 4</t>
        </is>
      </c>
      <c r="G257" s="8" t="n">
        <v>41</v>
      </c>
      <c r="H257" s="8" t="n"/>
      <c r="I257" s="8" t="inlineStr">
        <is>
          <t>false</t>
        </is>
      </c>
      <c r="J257" s="8" t="n"/>
      <c r="K257" s="8" t="n"/>
      <c r="L257" s="8" t="n">
        <v>8</v>
      </c>
      <c r="M257" s="10" t="n">
        <v>1.8</v>
      </c>
      <c r="N257" s="8" t="n">
        <v>1</v>
      </c>
      <c r="O257" s="8" t="n">
        <v>9</v>
      </c>
      <c r="P257" s="6">
        <f>LOWER(TRIM(C257))</f>
        <v/>
      </c>
      <c r="Q257" s="6">
        <f>IF(I257="true",1,0)</f>
        <v/>
      </c>
      <c r="R257" s="7">
        <f>IF(K257="","",K257)</f>
        <v/>
      </c>
      <c r="S257" s="6">
        <f>IF(OR(H257="",H257&lt;8,H257&gt;72),"",J257)</f>
        <v/>
      </c>
      <c r="T257" s="6">
        <f>IF(OR(P257="lyrics",P257="instrumental"),1,IF(AND(P257="none",COUNTIFS($B$2:$B$479,B257,$P$2:$P$479,"none")&gt;=3),1,0))</f>
        <v/>
      </c>
    </row>
    <row r="258">
      <c r="A258" s="3" t="n">
        <v>89</v>
      </c>
      <c r="B258" s="4" t="inlineStr">
        <is>
          <t>benjamin</t>
        </is>
      </c>
      <c r="C258" s="4" t="inlineStr">
        <is>
          <t>none</t>
        </is>
      </c>
      <c r="D258" s="4" t="inlineStr">
        <is>
          <t>2026-10-11T14:16:19.189Z</t>
        </is>
      </c>
      <c r="E258" s="3" t="n">
        <v>2</v>
      </c>
      <c r="F258" s="4" t="inlineStr">
        <is>
          <t>6 4 8 9 8 1 5 7</t>
        </is>
      </c>
      <c r="G258" s="3" t="n">
        <v>48</v>
      </c>
      <c r="H258" s="3" t="n">
        <v>48</v>
      </c>
      <c r="I258" s="3" t="inlineStr">
        <is>
          <t>true</t>
        </is>
      </c>
      <c r="J258" s="3" t="n">
        <v>0</v>
      </c>
      <c r="K258" s="3" t="n">
        <v>4970</v>
      </c>
      <c r="L258" s="3" t="n">
        <v>8</v>
      </c>
      <c r="M258" s="5" t="n">
        <v>1.8</v>
      </c>
      <c r="N258" s="3" t="n">
        <v>1</v>
      </c>
      <c r="O258" s="3" t="n">
        <v>9</v>
      </c>
      <c r="P258" s="6">
        <f>LOWER(TRIM(C258))</f>
        <v/>
      </c>
      <c r="Q258" s="6">
        <f>IF(I258="true",1,0)</f>
        <v/>
      </c>
      <c r="R258" s="7">
        <f>IF(K258="","",K258)</f>
        <v/>
      </c>
      <c r="S258" s="6">
        <f>IF(OR(H258="",H258&lt;8,H258&gt;72),"",J258)</f>
        <v/>
      </c>
      <c r="T258" s="6">
        <f>IF(OR(P258="lyrics",P258="instrumental"),1,IF(AND(P258="none",COUNTIFS($B$2:$B$479,B258,$P$2:$P$479,"none")&gt;=3),1,0))</f>
        <v/>
      </c>
    </row>
    <row r="259">
      <c r="A259" s="8" t="n">
        <v>90</v>
      </c>
      <c r="B259" s="9" t="inlineStr">
        <is>
          <t>benjamin</t>
        </is>
      </c>
      <c r="C259" s="9" t="inlineStr">
        <is>
          <t>instrumental</t>
        </is>
      </c>
      <c r="D259" s="9" t="inlineStr">
        <is>
          <t>2026-10-11T14:19:23.928Z</t>
        </is>
      </c>
      <c r="E259" s="8" t="n">
        <v>1</v>
      </c>
      <c r="F259" s="9" t="inlineStr">
        <is>
          <t>4 3 6 6 4 8 9 5</t>
        </is>
      </c>
      <c r="G259" s="8" t="n">
        <v>45</v>
      </c>
      <c r="H259" s="8" t="n">
        <v>45</v>
      </c>
      <c r="I259" s="8" t="inlineStr">
        <is>
          <t>true</t>
        </is>
      </c>
      <c r="J259" s="8" t="n">
        <v>0</v>
      </c>
      <c r="K259" s="8" t="n">
        <v>2394</v>
      </c>
      <c r="L259" s="8" t="n">
        <v>8</v>
      </c>
      <c r="M259" s="10" t="n">
        <v>1.8</v>
      </c>
      <c r="N259" s="8" t="n">
        <v>1</v>
      </c>
      <c r="O259" s="8" t="n">
        <v>9</v>
      </c>
      <c r="P259" s="6">
        <f>LOWER(TRIM(C259))</f>
        <v/>
      </c>
      <c r="Q259" s="6">
        <f>IF(I259="true",1,0)</f>
        <v/>
      </c>
      <c r="R259" s="7">
        <f>IF(K259="","",K259)</f>
        <v/>
      </c>
      <c r="S259" s="6">
        <f>IF(OR(H259="",H259&lt;8,H259&gt;72),"",J259)</f>
        <v/>
      </c>
      <c r="T259" s="6">
        <f>IF(OR(P259="lyrics",P259="instrumental"),1,IF(AND(P259="none",COUNTIFS($B$2:$B$479,B259,$P$2:$P$479,"none")&gt;=3),1,0))</f>
        <v/>
      </c>
    </row>
    <row r="260">
      <c r="A260" s="3" t="n">
        <v>90</v>
      </c>
      <c r="B260" s="4" t="inlineStr">
        <is>
          <t>benjamin</t>
        </is>
      </c>
      <c r="C260" s="4" t="inlineStr">
        <is>
          <t>instrumental</t>
        </is>
      </c>
      <c r="D260" s="4" t="inlineStr">
        <is>
          <t>2026-10-11T14:19:23.928Z</t>
        </is>
      </c>
      <c r="E260" s="3" t="n">
        <v>2</v>
      </c>
      <c r="F260" s="4" t="inlineStr">
        <is>
          <t>6 8 8 1 1 1 1 1</t>
        </is>
      </c>
      <c r="G260" s="3" t="n">
        <v>27</v>
      </c>
      <c r="H260" s="3" t="n">
        <v>27</v>
      </c>
      <c r="I260" s="3" t="inlineStr">
        <is>
          <t>true</t>
        </is>
      </c>
      <c r="J260" s="3" t="n">
        <v>0</v>
      </c>
      <c r="K260" s="3" t="n">
        <v>2524</v>
      </c>
      <c r="L260" s="3" t="n">
        <v>8</v>
      </c>
      <c r="M260" s="5" t="n">
        <v>1.8</v>
      </c>
      <c r="N260" s="3" t="n">
        <v>1</v>
      </c>
      <c r="O260" s="3" t="n">
        <v>9</v>
      </c>
      <c r="P260" s="6">
        <f>LOWER(TRIM(C260))</f>
        <v/>
      </c>
      <c r="Q260" s="6">
        <f>IF(I260="true",1,0)</f>
        <v/>
      </c>
      <c r="R260" s="7">
        <f>IF(K260="","",K260)</f>
        <v/>
      </c>
      <c r="S260" s="6">
        <f>IF(OR(H260="",H260&lt;8,H260&gt;72),"",J260)</f>
        <v/>
      </c>
      <c r="T260" s="6">
        <f>IF(OR(P260="lyrics",P260="instrumental"),1,IF(AND(P260="none",COUNTIFS($B$2:$B$479,B260,$P$2:$P$479,"none")&gt;=3),1,0))</f>
        <v/>
      </c>
    </row>
    <row r="261">
      <c r="A261" s="8" t="n">
        <v>90</v>
      </c>
      <c r="B261" s="9" t="inlineStr">
        <is>
          <t>benjamin</t>
        </is>
      </c>
      <c r="C261" s="9" t="inlineStr">
        <is>
          <t>instrumental</t>
        </is>
      </c>
      <c r="D261" s="9" t="inlineStr">
        <is>
          <t>2026-10-11T14:19:23.928Z</t>
        </is>
      </c>
      <c r="E261" s="8" t="n">
        <v>3</v>
      </c>
      <c r="F261" s="9" t="inlineStr">
        <is>
          <t>9 3 7 5 4 6 9 1</t>
        </is>
      </c>
      <c r="G261" s="8" t="n">
        <v>44</v>
      </c>
      <c r="H261" s="8" t="n">
        <v>44</v>
      </c>
      <c r="I261" s="8" t="inlineStr">
        <is>
          <t>true</t>
        </is>
      </c>
      <c r="J261" s="8" t="n">
        <v>0</v>
      </c>
      <c r="K261" s="8" t="n">
        <v>1627</v>
      </c>
      <c r="L261" s="8" t="n">
        <v>8</v>
      </c>
      <c r="M261" s="10" t="n">
        <v>1.8</v>
      </c>
      <c r="N261" s="8" t="n">
        <v>1</v>
      </c>
      <c r="O261" s="8" t="n">
        <v>9</v>
      </c>
      <c r="P261" s="6">
        <f>LOWER(TRIM(C261))</f>
        <v/>
      </c>
      <c r="Q261" s="6">
        <f>IF(I261="true",1,0)</f>
        <v/>
      </c>
      <c r="R261" s="7">
        <f>IF(K261="","",K261)</f>
        <v/>
      </c>
      <c r="S261" s="6">
        <f>IF(OR(H261="",H261&lt;8,H261&gt;72),"",J261)</f>
        <v/>
      </c>
      <c r="T261" s="6">
        <f>IF(OR(P261="lyrics",P261="instrumental"),1,IF(AND(P261="none",COUNTIFS($B$2:$B$479,B261,$P$2:$P$479,"none")&gt;=3),1,0))</f>
        <v/>
      </c>
    </row>
    <row r="262">
      <c r="A262" s="3" t="n">
        <v>91</v>
      </c>
      <c r="B262" s="4" t="inlineStr">
        <is>
          <t>benjamin</t>
        </is>
      </c>
      <c r="C262" s="4" t="inlineStr">
        <is>
          <t>instrumental</t>
        </is>
      </c>
      <c r="D262" s="4" t="inlineStr">
        <is>
          <t>2026-10-11T14:20:37.937Z</t>
        </is>
      </c>
      <c r="E262" s="3" t="n">
        <v>1</v>
      </c>
      <c r="F262" s="4" t="inlineStr">
        <is>
          <t>7 6 7 9 7 7 3 9</t>
        </is>
      </c>
      <c r="G262" s="3" t="n">
        <v>55</v>
      </c>
      <c r="H262" s="3" t="n">
        <v>55</v>
      </c>
      <c r="I262" s="3" t="inlineStr">
        <is>
          <t>true</t>
        </is>
      </c>
      <c r="J262" s="3" t="n">
        <v>0</v>
      </c>
      <c r="K262" s="3" t="n">
        <v>2097</v>
      </c>
      <c r="L262" s="3" t="n">
        <v>8</v>
      </c>
      <c r="M262" s="5" t="n">
        <v>1.8</v>
      </c>
      <c r="N262" s="3" t="n">
        <v>1</v>
      </c>
      <c r="O262" s="3" t="n">
        <v>9</v>
      </c>
      <c r="P262" s="6">
        <f>LOWER(TRIM(C262))</f>
        <v/>
      </c>
      <c r="Q262" s="6">
        <f>IF(I262="true",1,0)</f>
        <v/>
      </c>
      <c r="R262" s="7">
        <f>IF(K262="","",K262)</f>
        <v/>
      </c>
      <c r="S262" s="6">
        <f>IF(OR(H262="",H262&lt;8,H262&gt;72),"",J262)</f>
        <v/>
      </c>
      <c r="T262" s="6">
        <f>IF(OR(P262="lyrics",P262="instrumental"),1,IF(AND(P262="none",COUNTIFS($B$2:$B$479,B262,$P$2:$P$479,"none")&gt;=3),1,0))</f>
        <v/>
      </c>
    </row>
    <row r="263">
      <c r="A263" s="8" t="n">
        <v>91</v>
      </c>
      <c r="B263" s="9" t="inlineStr">
        <is>
          <t>benjamin</t>
        </is>
      </c>
      <c r="C263" s="9" t="inlineStr">
        <is>
          <t>instrumental</t>
        </is>
      </c>
      <c r="D263" s="9" t="inlineStr">
        <is>
          <t>2026-10-11T14:20:37.937Z</t>
        </is>
      </c>
      <c r="E263" s="8" t="n">
        <v>2</v>
      </c>
      <c r="F263" s="9" t="inlineStr">
        <is>
          <t>9 8 3 5 5 1 8 1</t>
        </is>
      </c>
      <c r="G263" s="8" t="n">
        <v>40</v>
      </c>
      <c r="H263" s="8" t="n">
        <v>40</v>
      </c>
      <c r="I263" s="8" t="inlineStr">
        <is>
          <t>true</t>
        </is>
      </c>
      <c r="J263" s="8" t="n">
        <v>0</v>
      </c>
      <c r="K263" s="8" t="n">
        <v>2219</v>
      </c>
      <c r="L263" s="8" t="n">
        <v>8</v>
      </c>
      <c r="M263" s="10" t="n">
        <v>1.8</v>
      </c>
      <c r="N263" s="8" t="n">
        <v>1</v>
      </c>
      <c r="O263" s="8" t="n">
        <v>9</v>
      </c>
      <c r="P263" s="6">
        <f>LOWER(TRIM(C263))</f>
        <v/>
      </c>
      <c r="Q263" s="6">
        <f>IF(I263="true",1,0)</f>
        <v/>
      </c>
      <c r="R263" s="7">
        <f>IF(K263="","",K263)</f>
        <v/>
      </c>
      <c r="S263" s="6">
        <f>IF(OR(H263="",H263&lt;8,H263&gt;72),"",J263)</f>
        <v/>
      </c>
      <c r="T263" s="6">
        <f>IF(OR(P263="lyrics",P263="instrumental"),1,IF(AND(P263="none",COUNTIFS($B$2:$B$479,B263,$P$2:$P$479,"none")&gt;=3),1,0))</f>
        <v/>
      </c>
    </row>
    <row r="264">
      <c r="A264" s="3" t="n">
        <v>91</v>
      </c>
      <c r="B264" s="4" t="inlineStr">
        <is>
          <t>benjamin</t>
        </is>
      </c>
      <c r="C264" s="4" t="inlineStr">
        <is>
          <t>instrumental</t>
        </is>
      </c>
      <c r="D264" s="4" t="inlineStr">
        <is>
          <t>2026-10-11T14:20:37.937Z</t>
        </is>
      </c>
      <c r="E264" s="3" t="n">
        <v>3</v>
      </c>
      <c r="F264" s="4" t="inlineStr">
        <is>
          <t>4 1 5 8 4 4 3 5</t>
        </is>
      </c>
      <c r="G264" s="3" t="n">
        <v>34</v>
      </c>
      <c r="H264" s="3" t="n">
        <v>34</v>
      </c>
      <c r="I264" s="3" t="inlineStr">
        <is>
          <t>true</t>
        </is>
      </c>
      <c r="J264" s="3" t="n">
        <v>0</v>
      </c>
      <c r="K264" s="3" t="n">
        <v>1877</v>
      </c>
      <c r="L264" s="3" t="n">
        <v>8</v>
      </c>
      <c r="M264" s="5" t="n">
        <v>1.8</v>
      </c>
      <c r="N264" s="3" t="n">
        <v>1</v>
      </c>
      <c r="O264" s="3" t="n">
        <v>9</v>
      </c>
      <c r="P264" s="6">
        <f>LOWER(TRIM(C264))</f>
        <v/>
      </c>
      <c r="Q264" s="6">
        <f>IF(I264="true",1,0)</f>
        <v/>
      </c>
      <c r="R264" s="7">
        <f>IF(K264="","",K264)</f>
        <v/>
      </c>
      <c r="S264" s="6">
        <f>IF(OR(H264="",H264&lt;8,H264&gt;72),"",J264)</f>
        <v/>
      </c>
      <c r="T264" s="6">
        <f>IF(OR(P264="lyrics",P264="instrumental"),1,IF(AND(P264="none",COUNTIFS($B$2:$B$479,B264,$P$2:$P$479,"none")&gt;=3),1,0))</f>
        <v/>
      </c>
    </row>
    <row r="265">
      <c r="A265" s="8" t="n">
        <v>92</v>
      </c>
      <c r="B265" s="9" t="inlineStr">
        <is>
          <t>benjamin</t>
        </is>
      </c>
      <c r="C265" s="9" t="inlineStr">
        <is>
          <t>instrumental</t>
        </is>
      </c>
      <c r="D265" s="9" t="inlineStr">
        <is>
          <t>2026-10-11T14:22:21.828Z</t>
        </is>
      </c>
      <c r="E265" s="8" t="n">
        <v>1</v>
      </c>
      <c r="F265" s="9" t="inlineStr">
        <is>
          <t>2 1 9 2 9 6 4 8</t>
        </is>
      </c>
      <c r="G265" s="8" t="n">
        <v>41</v>
      </c>
      <c r="H265" s="8" t="n">
        <v>41</v>
      </c>
      <c r="I265" s="8" t="inlineStr">
        <is>
          <t>true</t>
        </is>
      </c>
      <c r="J265" s="8" t="n">
        <v>0</v>
      </c>
      <c r="K265" s="8" t="n">
        <v>2225</v>
      </c>
      <c r="L265" s="8" t="n">
        <v>8</v>
      </c>
      <c r="M265" s="10" t="n">
        <v>1.8</v>
      </c>
      <c r="N265" s="8" t="n">
        <v>1</v>
      </c>
      <c r="O265" s="8" t="n">
        <v>9</v>
      </c>
      <c r="P265" s="6">
        <f>LOWER(TRIM(C265))</f>
        <v/>
      </c>
      <c r="Q265" s="6">
        <f>IF(I265="true",1,0)</f>
        <v/>
      </c>
      <c r="R265" s="7">
        <f>IF(K265="","",K265)</f>
        <v/>
      </c>
      <c r="S265" s="6">
        <f>IF(OR(H265="",H265&lt;8,H265&gt;72),"",J265)</f>
        <v/>
      </c>
      <c r="T265" s="6">
        <f>IF(OR(P265="lyrics",P265="instrumental"),1,IF(AND(P265="none",COUNTIFS($B$2:$B$479,B265,$P$2:$P$479,"none")&gt;=3),1,0))</f>
        <v/>
      </c>
    </row>
    <row r="266">
      <c r="A266" s="3" t="n">
        <v>92</v>
      </c>
      <c r="B266" s="4" t="inlineStr">
        <is>
          <t>benjamin</t>
        </is>
      </c>
      <c r="C266" s="4" t="inlineStr">
        <is>
          <t>instrumental</t>
        </is>
      </c>
      <c r="D266" s="4" t="inlineStr">
        <is>
          <t>2026-10-11T14:22:21.828Z</t>
        </is>
      </c>
      <c r="E266" s="3" t="n">
        <v>2</v>
      </c>
      <c r="F266" s="4" t="inlineStr">
        <is>
          <t>7 3 1 3 4 7 6 5</t>
        </is>
      </c>
      <c r="G266" s="3" t="n">
        <v>36</v>
      </c>
      <c r="H266" s="3" t="n">
        <v>36</v>
      </c>
      <c r="I266" s="3" t="inlineStr">
        <is>
          <t>true</t>
        </is>
      </c>
      <c r="J266" s="3" t="n">
        <v>0</v>
      </c>
      <c r="K266" s="3" t="n">
        <v>2348</v>
      </c>
      <c r="L266" s="3" t="n">
        <v>8</v>
      </c>
      <c r="M266" s="5" t="n">
        <v>1.8</v>
      </c>
      <c r="N266" s="3" t="n">
        <v>1</v>
      </c>
      <c r="O266" s="3" t="n">
        <v>9</v>
      </c>
      <c r="P266" s="6">
        <f>LOWER(TRIM(C266))</f>
        <v/>
      </c>
      <c r="Q266" s="6">
        <f>IF(I266="true",1,0)</f>
        <v/>
      </c>
      <c r="R266" s="7">
        <f>IF(K266="","",K266)</f>
        <v/>
      </c>
      <c r="S266" s="6">
        <f>IF(OR(H266="",H266&lt;8,H266&gt;72),"",J266)</f>
        <v/>
      </c>
      <c r="T266" s="6">
        <f>IF(OR(P266="lyrics",P266="instrumental"),1,IF(AND(P266="none",COUNTIFS($B$2:$B$479,B266,$P$2:$P$479,"none")&gt;=3),1,0))</f>
        <v/>
      </c>
    </row>
    <row r="267">
      <c r="A267" s="8" t="n">
        <v>92</v>
      </c>
      <c r="B267" s="9" t="inlineStr">
        <is>
          <t>benjamin</t>
        </is>
      </c>
      <c r="C267" s="9" t="inlineStr">
        <is>
          <t>instrumental</t>
        </is>
      </c>
      <c r="D267" s="9" t="inlineStr">
        <is>
          <t>2026-10-11T14:22:21.828Z</t>
        </is>
      </c>
      <c r="E267" s="8" t="n">
        <v>3</v>
      </c>
      <c r="F267" s="9" t="inlineStr">
        <is>
          <t>3 4 4 5 9 9 8 4</t>
        </is>
      </c>
      <c r="G267" s="8" t="n">
        <v>46</v>
      </c>
      <c r="H267" s="8" t="n">
        <v>46</v>
      </c>
      <c r="I267" s="8" t="inlineStr">
        <is>
          <t>true</t>
        </is>
      </c>
      <c r="J267" s="8" t="n">
        <v>0</v>
      </c>
      <c r="K267" s="8" t="n">
        <v>2175</v>
      </c>
      <c r="L267" s="8" t="n">
        <v>8</v>
      </c>
      <c r="M267" s="10" t="n">
        <v>1.8</v>
      </c>
      <c r="N267" s="8" t="n">
        <v>1</v>
      </c>
      <c r="O267" s="8" t="n">
        <v>9</v>
      </c>
      <c r="P267" s="6">
        <f>LOWER(TRIM(C267))</f>
        <v/>
      </c>
      <c r="Q267" s="6">
        <f>IF(I267="true",1,0)</f>
        <v/>
      </c>
      <c r="R267" s="7">
        <f>IF(K267="","",K267)</f>
        <v/>
      </c>
      <c r="S267" s="6">
        <f>IF(OR(H267="",H267&lt;8,H267&gt;72),"",J267)</f>
        <v/>
      </c>
      <c r="T267" s="6">
        <f>IF(OR(P267="lyrics",P267="instrumental"),1,IF(AND(P267="none",COUNTIFS($B$2:$B$479,B267,$P$2:$P$479,"none")&gt;=3),1,0))</f>
        <v/>
      </c>
    </row>
    <row r="268">
      <c r="A268" s="3" t="n">
        <v>93</v>
      </c>
      <c r="B268" s="4" t="inlineStr">
        <is>
          <t>benjamin</t>
        </is>
      </c>
      <c r="C268" s="4" t="inlineStr">
        <is>
          <t>lyrics</t>
        </is>
      </c>
      <c r="D268" s="4" t="inlineStr">
        <is>
          <t>2026-10-11T14:23:40.788Z</t>
        </is>
      </c>
      <c r="E268" s="3" t="n">
        <v>1</v>
      </c>
      <c r="F268" s="4" t="inlineStr">
        <is>
          <t>3 4 9 1 1 9 2 9</t>
        </is>
      </c>
      <c r="G268" s="3" t="n">
        <v>38</v>
      </c>
      <c r="H268" s="3" t="n">
        <v>38</v>
      </c>
      <c r="I268" s="3" t="inlineStr">
        <is>
          <t>true</t>
        </is>
      </c>
      <c r="J268" s="3" t="n">
        <v>0</v>
      </c>
      <c r="K268" s="3" t="n">
        <v>4143</v>
      </c>
      <c r="L268" s="3" t="n">
        <v>8</v>
      </c>
      <c r="M268" s="5" t="n">
        <v>1.8</v>
      </c>
      <c r="N268" s="3" t="n">
        <v>1</v>
      </c>
      <c r="O268" s="3" t="n">
        <v>9</v>
      </c>
      <c r="P268" s="6">
        <f>LOWER(TRIM(C268))</f>
        <v/>
      </c>
      <c r="Q268" s="6">
        <f>IF(I268="true",1,0)</f>
        <v/>
      </c>
      <c r="R268" s="7">
        <f>IF(K268="","",K268)</f>
        <v/>
      </c>
      <c r="S268" s="6">
        <f>IF(OR(H268="",H268&lt;8,H268&gt;72),"",J268)</f>
        <v/>
      </c>
      <c r="T268" s="6">
        <f>IF(OR(P268="lyrics",P268="instrumental"),1,IF(AND(P268="none",COUNTIFS($B$2:$B$479,B268,$P$2:$P$479,"none")&gt;=3),1,0))</f>
        <v/>
      </c>
    </row>
    <row r="269">
      <c r="A269" s="8" t="n">
        <v>93</v>
      </c>
      <c r="B269" s="9" t="inlineStr">
        <is>
          <t>benjamin</t>
        </is>
      </c>
      <c r="C269" s="9" t="inlineStr">
        <is>
          <t>lyrics</t>
        </is>
      </c>
      <c r="D269" s="9" t="inlineStr">
        <is>
          <t>2026-10-11T14:23:40.788Z</t>
        </is>
      </c>
      <c r="E269" s="8" t="n">
        <v>2</v>
      </c>
      <c r="F269" s="9" t="inlineStr">
        <is>
          <t>2 5 2 5 2 6 5 4</t>
        </is>
      </c>
      <c r="G269" s="8" t="n">
        <v>31</v>
      </c>
      <c r="H269" s="8" t="n">
        <v>33</v>
      </c>
      <c r="I269" s="8" t="inlineStr">
        <is>
          <t>false</t>
        </is>
      </c>
      <c r="J269" s="8" t="n">
        <v>2</v>
      </c>
      <c r="K269" s="8" t="n">
        <v>1720</v>
      </c>
      <c r="L269" s="8" t="n">
        <v>8</v>
      </c>
      <c r="M269" s="10" t="n">
        <v>1.8</v>
      </c>
      <c r="N269" s="8" t="n">
        <v>1</v>
      </c>
      <c r="O269" s="8" t="n">
        <v>9</v>
      </c>
      <c r="P269" s="6">
        <f>LOWER(TRIM(C269))</f>
        <v/>
      </c>
      <c r="Q269" s="6">
        <f>IF(I269="true",1,0)</f>
        <v/>
      </c>
      <c r="R269" s="7">
        <f>IF(K269="","",K269)</f>
        <v/>
      </c>
      <c r="S269" s="6">
        <f>IF(OR(H269="",H269&lt;8,H269&gt;72),"",J269)</f>
        <v/>
      </c>
      <c r="T269" s="6">
        <f>IF(OR(P269="lyrics",P269="instrumental"),1,IF(AND(P269="none",COUNTIFS($B$2:$B$479,B269,$P$2:$P$479,"none")&gt;=3),1,0))</f>
        <v/>
      </c>
    </row>
    <row r="270">
      <c r="A270" s="3" t="n">
        <v>93</v>
      </c>
      <c r="B270" s="4" t="inlineStr">
        <is>
          <t>benjamin</t>
        </is>
      </c>
      <c r="C270" s="4" t="inlineStr">
        <is>
          <t>Lyrics</t>
        </is>
      </c>
      <c r="D270" s="4" t="inlineStr">
        <is>
          <t>2026-10-11T14:23:40.788Z</t>
        </is>
      </c>
      <c r="E270" s="3" t="n">
        <v>3</v>
      </c>
      <c r="F270" s="4" t="inlineStr">
        <is>
          <t>7 8 4 5 8 6 1 9</t>
        </is>
      </c>
      <c r="G270" s="3" t="n">
        <v>48</v>
      </c>
      <c r="H270" s="3" t="n">
        <v>48</v>
      </c>
      <c r="I270" s="3" t="inlineStr">
        <is>
          <t>true</t>
        </is>
      </c>
      <c r="J270" s="3" t="n">
        <v>0</v>
      </c>
      <c r="K270" s="3" t="n">
        <v>2020</v>
      </c>
      <c r="L270" s="3" t="n">
        <v>8</v>
      </c>
      <c r="M270" s="5" t="n">
        <v>1.8</v>
      </c>
      <c r="N270" s="3" t="n">
        <v>1</v>
      </c>
      <c r="O270" s="3" t="n">
        <v>9</v>
      </c>
      <c r="P270" s="6">
        <f>LOWER(TRIM(C270))</f>
        <v/>
      </c>
      <c r="Q270" s="6">
        <f>IF(I270="true",1,0)</f>
        <v/>
      </c>
      <c r="R270" s="7">
        <f>IF(K270="","",K270)</f>
        <v/>
      </c>
      <c r="S270" s="6">
        <f>IF(OR(H270="",H270&lt;8,H270&gt;72),"",J270)</f>
        <v/>
      </c>
      <c r="T270" s="6">
        <f>IF(OR(P270="lyrics",P270="instrumental"),1,IF(AND(P270="none",COUNTIFS($B$2:$B$479,B270,$P$2:$P$479,"none")&gt;=3),1,0))</f>
        <v/>
      </c>
    </row>
    <row r="271">
      <c r="A271" s="8" t="n">
        <v>94</v>
      </c>
      <c r="B271" s="9" t="inlineStr">
        <is>
          <t>benjamin</t>
        </is>
      </c>
      <c r="C271" s="9" t="inlineStr">
        <is>
          <t>lyrics</t>
        </is>
      </c>
      <c r="D271" s="9" t="inlineStr">
        <is>
          <t>2026-10-11T14:25:01.823Z</t>
        </is>
      </c>
      <c r="E271" s="8" t="n">
        <v>1</v>
      </c>
      <c r="F271" s="9" t="inlineStr">
        <is>
          <t>4 6 9 4 4 4 6 7</t>
        </is>
      </c>
      <c r="G271" s="8" t="n">
        <v>44</v>
      </c>
      <c r="H271" s="8" t="n">
        <v>44</v>
      </c>
      <c r="I271" s="8" t="inlineStr">
        <is>
          <t>true</t>
        </is>
      </c>
      <c r="J271" s="8" t="n">
        <v>0</v>
      </c>
      <c r="K271" s="8" t="n">
        <v>2072</v>
      </c>
      <c r="L271" s="8" t="n">
        <v>8</v>
      </c>
      <c r="M271" s="10" t="n">
        <v>1.8</v>
      </c>
      <c r="N271" s="8" t="n">
        <v>1</v>
      </c>
      <c r="O271" s="8" t="n">
        <v>9</v>
      </c>
      <c r="P271" s="6">
        <f>LOWER(TRIM(C271))</f>
        <v/>
      </c>
      <c r="Q271" s="6">
        <f>IF(I271="true",1,0)</f>
        <v/>
      </c>
      <c r="R271" s="7">
        <f>IF(K271="","",K271)</f>
        <v/>
      </c>
      <c r="S271" s="6">
        <f>IF(OR(H271="",H271&lt;8,H271&gt;72),"",J271)</f>
        <v/>
      </c>
      <c r="T271" s="6">
        <f>IF(OR(P271="lyrics",P271="instrumental"),1,IF(AND(P271="none",COUNTIFS($B$2:$B$479,B271,$P$2:$P$479,"none")&gt;=3),1,0))</f>
        <v/>
      </c>
    </row>
    <row r="272">
      <c r="A272" s="3" t="n">
        <v>94</v>
      </c>
      <c r="B272" s="4" t="inlineStr">
        <is>
          <t>benjamin</t>
        </is>
      </c>
      <c r="C272" s="4" t="inlineStr">
        <is>
          <t>lyrics</t>
        </is>
      </c>
      <c r="D272" s="4" t="inlineStr">
        <is>
          <t>2026-10-11T14:25:01.823Z</t>
        </is>
      </c>
      <c r="E272" s="3" t="n">
        <v>2</v>
      </c>
      <c r="F272" s="4" t="inlineStr">
        <is>
          <t>5 2 6 3 5 2 9 5</t>
        </is>
      </c>
      <c r="G272" s="3" t="n">
        <v>37</v>
      </c>
      <c r="H272" s="3" t="n">
        <v>37</v>
      </c>
      <c r="I272" s="3" t="inlineStr">
        <is>
          <t>true</t>
        </is>
      </c>
      <c r="J272" s="3" t="n">
        <v>0</v>
      </c>
      <c r="K272" s="3" t="n">
        <v>2149</v>
      </c>
      <c r="L272" s="3" t="n">
        <v>8</v>
      </c>
      <c r="M272" s="5" t="n">
        <v>1.8</v>
      </c>
      <c r="N272" s="3" t="n">
        <v>1</v>
      </c>
      <c r="O272" s="3" t="n">
        <v>9</v>
      </c>
      <c r="P272" s="6">
        <f>LOWER(TRIM(C272))</f>
        <v/>
      </c>
      <c r="Q272" s="6">
        <f>IF(I272="true",1,0)</f>
        <v/>
      </c>
      <c r="R272" s="7">
        <f>IF(K272="","",K272)</f>
        <v/>
      </c>
      <c r="S272" s="6">
        <f>IF(OR(H272="",H272&lt;8,H272&gt;72),"",J272)</f>
        <v/>
      </c>
      <c r="T272" s="6">
        <f>IF(OR(P272="lyrics",P272="instrumental"),1,IF(AND(P272="none",COUNTIFS($B$2:$B$479,B272,$P$2:$P$479,"none")&gt;=3),1,0))</f>
        <v/>
      </c>
    </row>
    <row r="273">
      <c r="A273" s="8" t="n">
        <v>94</v>
      </c>
      <c r="B273" s="9" t="inlineStr">
        <is>
          <t>benjamin</t>
        </is>
      </c>
      <c r="C273" s="9" t="inlineStr">
        <is>
          <t>lyrics</t>
        </is>
      </c>
      <c r="D273" s="9" t="inlineStr">
        <is>
          <t>2026-10-11T14:25:01.823Z</t>
        </is>
      </c>
      <c r="E273" s="8" t="n">
        <v>3</v>
      </c>
      <c r="F273" s="9" t="inlineStr">
        <is>
          <t>8 8 4 5 1 3 7 5</t>
        </is>
      </c>
      <c r="G273" s="8" t="n">
        <v>41</v>
      </c>
      <c r="H273" s="8" t="n">
        <v>41</v>
      </c>
      <c r="I273" s="8" t="inlineStr">
        <is>
          <t>true</t>
        </is>
      </c>
      <c r="J273" s="8" t="n">
        <v>0</v>
      </c>
      <c r="K273" s="8" t="n">
        <v>1807</v>
      </c>
      <c r="L273" s="8" t="n">
        <v>8</v>
      </c>
      <c r="M273" s="10" t="n">
        <v>1.8</v>
      </c>
      <c r="N273" s="8" t="n">
        <v>1</v>
      </c>
      <c r="O273" s="8" t="n">
        <v>9</v>
      </c>
      <c r="P273" s="6">
        <f>LOWER(TRIM(C273))</f>
        <v/>
      </c>
      <c r="Q273" s="6">
        <f>IF(I273="true",1,0)</f>
        <v/>
      </c>
      <c r="R273" s="7">
        <f>IF(K273="","",K273)</f>
        <v/>
      </c>
      <c r="S273" s="6">
        <f>IF(OR(H273="",H273&lt;8,H273&gt;72),"",J273)</f>
        <v/>
      </c>
      <c r="T273" s="6">
        <f>IF(OR(P273="lyrics",P273="instrumental"),1,IF(AND(P273="none",COUNTIFS($B$2:$B$479,B273,$P$2:$P$479,"none")&gt;=3),1,0))</f>
        <v/>
      </c>
    </row>
    <row r="274">
      <c r="A274" s="3" t="n">
        <v>95</v>
      </c>
      <c r="B274" s="4" t="inlineStr">
        <is>
          <t>benjamin</t>
        </is>
      </c>
      <c r="C274" s="4" t="inlineStr">
        <is>
          <t>lyrics</t>
        </is>
      </c>
      <c r="D274" s="4" t="inlineStr">
        <is>
          <t>2026-10-11T14:26:14.206Z</t>
        </is>
      </c>
      <c r="E274" s="3" t="n">
        <v>1</v>
      </c>
      <c r="F274" s="4" t="inlineStr">
        <is>
          <t>8 2 1 3 3 2 5 3</t>
        </is>
      </c>
      <c r="G274" s="3" t="n">
        <v>27</v>
      </c>
      <c r="H274" s="3" t="n">
        <v>27</v>
      </c>
      <c r="I274" s="3" t="inlineStr">
        <is>
          <t>true</t>
        </is>
      </c>
      <c r="J274" s="3" t="n">
        <v>0</v>
      </c>
      <c r="K274" s="3" t="n">
        <v>2247</v>
      </c>
      <c r="L274" s="3" t="n">
        <v>8</v>
      </c>
      <c r="M274" s="5" t="n">
        <v>1.8</v>
      </c>
      <c r="N274" s="3" t="n">
        <v>1</v>
      </c>
      <c r="O274" s="3" t="n">
        <v>9</v>
      </c>
      <c r="P274" s="6">
        <f>LOWER(TRIM(C274))</f>
        <v/>
      </c>
      <c r="Q274" s="6">
        <f>IF(I274="true",1,0)</f>
        <v/>
      </c>
      <c r="R274" s="7">
        <f>IF(K274="","",K274)</f>
        <v/>
      </c>
      <c r="S274" s="6">
        <f>IF(OR(H274="",H274&lt;8,H274&gt;72),"",J274)</f>
        <v/>
      </c>
      <c r="T274" s="6">
        <f>IF(OR(P274="lyrics",P274="instrumental"),1,IF(AND(P274="none",COUNTIFS($B$2:$B$479,B274,$P$2:$P$479,"none")&gt;=3),1,0))</f>
        <v/>
      </c>
    </row>
    <row r="275">
      <c r="A275" s="8" t="n">
        <v>95</v>
      </c>
      <c r="B275" s="9" t="inlineStr">
        <is>
          <t>benjamin</t>
        </is>
      </c>
      <c r="C275" s="9" t="inlineStr">
        <is>
          <t>lyrics</t>
        </is>
      </c>
      <c r="D275" s="9" t="inlineStr">
        <is>
          <t>2026-10-11T14:26:14.206Z</t>
        </is>
      </c>
      <c r="E275" s="8" t="n">
        <v>2</v>
      </c>
      <c r="F275" s="9" t="inlineStr">
        <is>
          <t>2 2 8 5 2 9 1 9</t>
        </is>
      </c>
      <c r="G275" s="8" t="n">
        <v>38</v>
      </c>
      <c r="H275" s="8" t="n">
        <v>38</v>
      </c>
      <c r="I275" s="8" t="inlineStr">
        <is>
          <t>true</t>
        </is>
      </c>
      <c r="J275" s="8" t="n">
        <v>0</v>
      </c>
      <c r="K275" s="8" t="n">
        <v>1275</v>
      </c>
      <c r="L275" s="8" t="n">
        <v>8</v>
      </c>
      <c r="M275" s="10" t="n">
        <v>1.8</v>
      </c>
      <c r="N275" s="8" t="n">
        <v>1</v>
      </c>
      <c r="O275" s="8" t="n">
        <v>9</v>
      </c>
      <c r="P275" s="6">
        <f>LOWER(TRIM(C275))</f>
        <v/>
      </c>
      <c r="Q275" s="6">
        <f>IF(I275="true",1,0)</f>
        <v/>
      </c>
      <c r="R275" s="7">
        <f>IF(K275="","",K275)</f>
        <v/>
      </c>
      <c r="S275" s="6">
        <f>IF(OR(H275="",H275&lt;8,H275&gt;72),"",J275)</f>
        <v/>
      </c>
      <c r="T275" s="6">
        <f>IF(OR(P275="lyrics",P275="instrumental"),1,IF(AND(P275="none",COUNTIFS($B$2:$B$479,B275,$P$2:$P$479,"none")&gt;=3),1,0))</f>
        <v/>
      </c>
    </row>
    <row r="276">
      <c r="A276" s="3" t="n">
        <v>95</v>
      </c>
      <c r="B276" s="4" t="inlineStr">
        <is>
          <t>benjamin</t>
        </is>
      </c>
      <c r="C276" s="4" t="inlineStr">
        <is>
          <t>lyrics</t>
        </is>
      </c>
      <c r="D276" s="4" t="inlineStr">
        <is>
          <t>2026-10-11T14:26:14.206Z</t>
        </is>
      </c>
      <c r="E276" s="3" t="n">
        <v>3</v>
      </c>
      <c r="F276" s="4" t="inlineStr">
        <is>
          <t>4 7 3 5 4 7 2 9</t>
        </is>
      </c>
      <c r="G276" s="3" t="n">
        <v>41</v>
      </c>
      <c r="H276" s="3" t="n">
        <v>41</v>
      </c>
      <c r="I276" s="3" t="inlineStr">
        <is>
          <t>true</t>
        </is>
      </c>
      <c r="J276" s="3" t="n">
        <v>0</v>
      </c>
      <c r="K276" s="3" t="n">
        <v>1520</v>
      </c>
      <c r="L276" s="3" t="n">
        <v>8</v>
      </c>
      <c r="M276" s="5" t="n">
        <v>1.8</v>
      </c>
      <c r="N276" s="3" t="n">
        <v>1</v>
      </c>
      <c r="O276" s="3" t="n">
        <v>9</v>
      </c>
      <c r="P276" s="6">
        <f>LOWER(TRIM(C276))</f>
        <v/>
      </c>
      <c r="Q276" s="6">
        <f>IF(I276="true",1,0)</f>
        <v/>
      </c>
      <c r="R276" s="7">
        <f>IF(K276="","",K276)</f>
        <v/>
      </c>
      <c r="S276" s="6">
        <f>IF(OR(H276="",H276&lt;8,H276&gt;72),"",J276)</f>
        <v/>
      </c>
      <c r="T276" s="6">
        <f>IF(OR(P276="lyrics",P276="instrumental"),1,IF(AND(P276="none",COUNTIFS($B$2:$B$479,B276,$P$2:$P$479,"none")&gt;=3),1,0))</f>
        <v/>
      </c>
    </row>
    <row r="277">
      <c r="A277" s="8" t="n">
        <v>96</v>
      </c>
      <c r="B277" s="9" t="inlineStr">
        <is>
          <t>joran</t>
        </is>
      </c>
      <c r="C277" s="9" t="inlineStr">
        <is>
          <t>none</t>
        </is>
      </c>
      <c r="D277" s="9" t="inlineStr">
        <is>
          <t>2026-10-11T16:27:39.165Z</t>
        </is>
      </c>
      <c r="E277" s="8" t="n">
        <v>1</v>
      </c>
      <c r="F277" s="9" t="inlineStr">
        <is>
          <t>6 3 4 5 4 3 4 5</t>
        </is>
      </c>
      <c r="G277" s="8" t="n">
        <v>34</v>
      </c>
      <c r="H277" s="8" t="n">
        <v>34</v>
      </c>
      <c r="I277" s="8" t="inlineStr">
        <is>
          <t>true</t>
        </is>
      </c>
      <c r="J277" s="8" t="n">
        <v>0</v>
      </c>
      <c r="K277" s="8" t="n">
        <v>2396</v>
      </c>
      <c r="L277" s="8" t="n">
        <v>8</v>
      </c>
      <c r="M277" s="10" t="n">
        <v>1.8</v>
      </c>
      <c r="N277" s="8" t="n">
        <v>1</v>
      </c>
      <c r="O277" s="8" t="n">
        <v>9</v>
      </c>
      <c r="P277" s="6">
        <f>LOWER(TRIM(C277))</f>
        <v/>
      </c>
      <c r="Q277" s="6">
        <f>IF(I277="true",1,0)</f>
        <v/>
      </c>
      <c r="R277" s="7">
        <f>IF(K277="","",K277)</f>
        <v/>
      </c>
      <c r="S277" s="6">
        <f>IF(OR(H277="",H277&lt;8,H277&gt;72),"",J277)</f>
        <v/>
      </c>
      <c r="T277" s="6">
        <f>IF(OR(P277="lyrics",P277="instrumental"),1,IF(AND(P277="none",COUNTIFS($B$2:$B$479,B277,$P$2:$P$479,"none")&gt;=3),1,0))</f>
        <v/>
      </c>
    </row>
    <row r="278">
      <c r="A278" s="3" t="n">
        <v>96</v>
      </c>
      <c r="B278" s="4" t="inlineStr">
        <is>
          <t>joran</t>
        </is>
      </c>
      <c r="C278" s="4" t="inlineStr">
        <is>
          <t>none</t>
        </is>
      </c>
      <c r="D278" s="4" t="inlineStr">
        <is>
          <t>2026-10-11T16:27:39.165Z</t>
        </is>
      </c>
      <c r="E278" s="3" t="n">
        <v>2</v>
      </c>
      <c r="F278" s="4" t="inlineStr">
        <is>
          <t>2 2 3 2 1 7 8 3</t>
        </is>
      </c>
      <c r="G278" s="3" t="n">
        <v>28</v>
      </c>
      <c r="H278" s="3" t="n">
        <v>28</v>
      </c>
      <c r="I278" s="3" t="inlineStr">
        <is>
          <t>true</t>
        </is>
      </c>
      <c r="J278" s="3" t="n">
        <v>0</v>
      </c>
      <c r="K278" s="3" t="n">
        <v>2106</v>
      </c>
      <c r="L278" s="3" t="n">
        <v>8</v>
      </c>
      <c r="M278" s="5" t="n">
        <v>1.8</v>
      </c>
      <c r="N278" s="3" t="n">
        <v>1</v>
      </c>
      <c r="O278" s="3" t="n">
        <v>9</v>
      </c>
      <c r="P278" s="6">
        <f>LOWER(TRIM(C278))</f>
        <v/>
      </c>
      <c r="Q278" s="6">
        <f>IF(I278="true",1,0)</f>
        <v/>
      </c>
      <c r="R278" s="7">
        <f>IF(K278="","",K278)</f>
        <v/>
      </c>
      <c r="S278" s="6">
        <f>IF(OR(H278="",H278&lt;8,H278&gt;72),"",J278)</f>
        <v/>
      </c>
      <c r="T278" s="6">
        <f>IF(OR(P278="lyrics",P278="instrumental"),1,IF(AND(P278="none",COUNTIFS($B$2:$B$479,B278,$P$2:$P$479,"none")&gt;=3),1,0))</f>
        <v/>
      </c>
    </row>
    <row r="279">
      <c r="A279" s="8" t="n">
        <v>97</v>
      </c>
      <c r="B279" s="9" t="inlineStr">
        <is>
          <t>joran</t>
        </is>
      </c>
      <c r="C279" s="9" t="inlineStr">
        <is>
          <t>lyrics</t>
        </is>
      </c>
      <c r="D279" s="9" t="inlineStr">
        <is>
          <t>2026-10-11T16:30:04.140Z</t>
        </is>
      </c>
      <c r="E279" s="8" t="n">
        <v>1</v>
      </c>
      <c r="F279" s="9" t="inlineStr">
        <is>
          <t>7 8 8 6 6 2 2 1</t>
        </is>
      </c>
      <c r="G279" s="8" t="n">
        <v>40</v>
      </c>
      <c r="H279" s="8" t="n">
        <v>40</v>
      </c>
      <c r="I279" s="8" t="inlineStr">
        <is>
          <t>true</t>
        </is>
      </c>
      <c r="J279" s="8" t="n">
        <v>0</v>
      </c>
      <c r="K279" s="8" t="n">
        <v>1730</v>
      </c>
      <c r="L279" s="8" t="n">
        <v>8</v>
      </c>
      <c r="M279" s="10" t="n">
        <v>1.8</v>
      </c>
      <c r="N279" s="8" t="n">
        <v>1</v>
      </c>
      <c r="O279" s="8" t="n">
        <v>9</v>
      </c>
      <c r="P279" s="6">
        <f>LOWER(TRIM(C279))</f>
        <v/>
      </c>
      <c r="Q279" s="6">
        <f>IF(I279="true",1,0)</f>
        <v/>
      </c>
      <c r="R279" s="7">
        <f>IF(K279="","",K279)</f>
        <v/>
      </c>
      <c r="S279" s="6">
        <f>IF(OR(H279="",H279&lt;8,H279&gt;72),"",J279)</f>
        <v/>
      </c>
      <c r="T279" s="6">
        <f>IF(OR(P279="lyrics",P279="instrumental"),1,IF(AND(P279="none",COUNTIFS($B$2:$B$479,B279,$P$2:$P$479,"none")&gt;=3),1,0))</f>
        <v/>
      </c>
    </row>
    <row r="280">
      <c r="A280" s="3" t="n">
        <v>97</v>
      </c>
      <c r="B280" s="4" t="inlineStr">
        <is>
          <t>joran</t>
        </is>
      </c>
      <c r="C280" s="4" t="inlineStr">
        <is>
          <t>lyrics</t>
        </is>
      </c>
      <c r="D280" s="4" t="inlineStr">
        <is>
          <t>2026-10-11T16:30:04.140Z</t>
        </is>
      </c>
      <c r="E280" s="3" t="n">
        <v>2</v>
      </c>
      <c r="F280" s="4" t="inlineStr">
        <is>
          <t>1 2 9 1 9 9 7 9</t>
        </is>
      </c>
      <c r="G280" s="3" t="n">
        <v>47</v>
      </c>
      <c r="H280" s="3" t="n">
        <v>47</v>
      </c>
      <c r="I280" s="3" t="inlineStr">
        <is>
          <t>true</t>
        </is>
      </c>
      <c r="J280" s="3" t="n">
        <v>0</v>
      </c>
      <c r="K280" s="3" t="n">
        <v>2304</v>
      </c>
      <c r="L280" s="3" t="n">
        <v>8</v>
      </c>
      <c r="M280" s="5" t="n">
        <v>1.8</v>
      </c>
      <c r="N280" s="3" t="n">
        <v>1</v>
      </c>
      <c r="O280" s="3" t="n">
        <v>9</v>
      </c>
      <c r="P280" s="6">
        <f>LOWER(TRIM(C280))</f>
        <v/>
      </c>
      <c r="Q280" s="6">
        <f>IF(I280="true",1,0)</f>
        <v/>
      </c>
      <c r="R280" s="7">
        <f>IF(K280="","",K280)</f>
        <v/>
      </c>
      <c r="S280" s="6">
        <f>IF(OR(H280="",H280&lt;8,H280&gt;72),"",J280)</f>
        <v/>
      </c>
      <c r="T280" s="6">
        <f>IF(OR(P280="lyrics",P280="instrumental"),1,IF(AND(P280="none",COUNTIFS($B$2:$B$479,B280,$P$2:$P$479,"none")&gt;=3),1,0))</f>
        <v/>
      </c>
    </row>
    <row r="281">
      <c r="A281" s="8" t="n">
        <v>97</v>
      </c>
      <c r="B281" s="9" t="inlineStr">
        <is>
          <t>joran</t>
        </is>
      </c>
      <c r="C281" s="9" t="inlineStr">
        <is>
          <t>lyrics</t>
        </is>
      </c>
      <c r="D281" s="9" t="inlineStr">
        <is>
          <t>2026-10-11T16:30:04.140Z</t>
        </is>
      </c>
      <c r="E281" s="8" t="n">
        <v>3</v>
      </c>
      <c r="F281" s="9" t="inlineStr">
        <is>
          <t>6 8 8 2 2 6 5 7</t>
        </is>
      </c>
      <c r="G281" s="8" t="n">
        <v>44</v>
      </c>
      <c r="H281" s="8" t="n">
        <v>44</v>
      </c>
      <c r="I281" s="8" t="inlineStr">
        <is>
          <t>true</t>
        </is>
      </c>
      <c r="J281" s="8" t="n">
        <v>0</v>
      </c>
      <c r="K281" s="8" t="n">
        <v>1039</v>
      </c>
      <c r="L281" s="8" t="n">
        <v>8</v>
      </c>
      <c r="M281" s="10" t="n">
        <v>1.8</v>
      </c>
      <c r="N281" s="8" t="n">
        <v>1</v>
      </c>
      <c r="O281" s="8" t="n">
        <v>9</v>
      </c>
      <c r="P281" s="6">
        <f>LOWER(TRIM(C281))</f>
        <v/>
      </c>
      <c r="Q281" s="6">
        <f>IF(I281="true",1,0)</f>
        <v/>
      </c>
      <c r="R281" s="7">
        <f>IF(K281="","",K281)</f>
        <v/>
      </c>
      <c r="S281" s="6">
        <f>IF(OR(H281="",H281&lt;8,H281&gt;72),"",J281)</f>
        <v/>
      </c>
      <c r="T281" s="6">
        <f>IF(OR(P281="lyrics",P281="instrumental"),1,IF(AND(P281="none",COUNTIFS($B$2:$B$479,B281,$P$2:$P$479,"none")&gt;=3),1,0))</f>
        <v/>
      </c>
    </row>
    <row r="282">
      <c r="A282" s="3" t="n">
        <v>98</v>
      </c>
      <c r="B282" s="4" t="inlineStr">
        <is>
          <t>joran</t>
        </is>
      </c>
      <c r="C282" s="4" t="inlineStr">
        <is>
          <t>lyrics</t>
        </is>
      </c>
      <c r="D282" s="4" t="inlineStr">
        <is>
          <t>2026-10-11T16:31:28.637Z</t>
        </is>
      </c>
      <c r="E282" s="3" t="n">
        <v>1</v>
      </c>
      <c r="F282" s="4" t="inlineStr">
        <is>
          <t>6 9 7 6 3 2 1 2</t>
        </is>
      </c>
      <c r="G282" s="3" t="n">
        <v>36</v>
      </c>
      <c r="H282" s="3" t="n">
        <v>36</v>
      </c>
      <c r="I282" s="3" t="inlineStr">
        <is>
          <t>true</t>
        </is>
      </c>
      <c r="J282" s="3" t="n">
        <v>0</v>
      </c>
      <c r="K282" s="3" t="n">
        <v>1975</v>
      </c>
      <c r="L282" s="3" t="n">
        <v>8</v>
      </c>
      <c r="M282" s="5" t="n">
        <v>1.8</v>
      </c>
      <c r="N282" s="3" t="n">
        <v>1</v>
      </c>
      <c r="O282" s="3" t="n">
        <v>9</v>
      </c>
      <c r="P282" s="6">
        <f>LOWER(TRIM(C282))</f>
        <v/>
      </c>
      <c r="Q282" s="6">
        <f>IF(I282="true",1,0)</f>
        <v/>
      </c>
      <c r="R282" s="7">
        <f>IF(K282="","",K282)</f>
        <v/>
      </c>
      <c r="S282" s="6">
        <f>IF(OR(H282="",H282&lt;8,H282&gt;72),"",J282)</f>
        <v/>
      </c>
      <c r="T282" s="6">
        <f>IF(OR(P282="lyrics",P282="instrumental"),1,IF(AND(P282="none",COUNTIFS($B$2:$B$479,B282,$P$2:$P$479,"none")&gt;=3),1,0))</f>
        <v/>
      </c>
    </row>
    <row r="283">
      <c r="A283" s="8" t="n">
        <v>98</v>
      </c>
      <c r="B283" s="9" t="inlineStr">
        <is>
          <t>joran</t>
        </is>
      </c>
      <c r="C283" s="9" t="inlineStr">
        <is>
          <t>lyrics</t>
        </is>
      </c>
      <c r="D283" s="9" t="inlineStr">
        <is>
          <t>2026-10-11T16:31:28.637Z</t>
        </is>
      </c>
      <c r="E283" s="8" t="n">
        <v>2</v>
      </c>
      <c r="F283" s="9" t="inlineStr">
        <is>
          <t>6 1 6 7 6 7 7 9</t>
        </is>
      </c>
      <c r="G283" s="8" t="n">
        <v>49</v>
      </c>
      <c r="H283" s="8" t="n">
        <v>49</v>
      </c>
      <c r="I283" s="8" t="inlineStr">
        <is>
          <t>true</t>
        </is>
      </c>
      <c r="J283" s="8" t="n">
        <v>0</v>
      </c>
      <c r="K283" s="8" t="n">
        <v>1658</v>
      </c>
      <c r="L283" s="8" t="n">
        <v>8</v>
      </c>
      <c r="M283" s="10" t="n">
        <v>1.8</v>
      </c>
      <c r="N283" s="8" t="n">
        <v>1</v>
      </c>
      <c r="O283" s="8" t="n">
        <v>9</v>
      </c>
      <c r="P283" s="6">
        <f>LOWER(TRIM(C283))</f>
        <v/>
      </c>
      <c r="Q283" s="6">
        <f>IF(I283="true",1,0)</f>
        <v/>
      </c>
      <c r="R283" s="7">
        <f>IF(K283="","",K283)</f>
        <v/>
      </c>
      <c r="S283" s="6">
        <f>IF(OR(H283="",H283&lt;8,H283&gt;72),"",J283)</f>
        <v/>
      </c>
      <c r="T283" s="6">
        <f>IF(OR(P283="lyrics",P283="instrumental"),1,IF(AND(P283="none",COUNTIFS($B$2:$B$479,B283,$P$2:$P$479,"none")&gt;=3),1,0))</f>
        <v/>
      </c>
    </row>
    <row r="284">
      <c r="A284" s="3" t="n">
        <v>98</v>
      </c>
      <c r="B284" s="4" t="inlineStr">
        <is>
          <t>joran</t>
        </is>
      </c>
      <c r="C284" s="4" t="inlineStr">
        <is>
          <t>lyrics</t>
        </is>
      </c>
      <c r="D284" s="4" t="inlineStr">
        <is>
          <t>2026-10-11T16:31:28.637Z</t>
        </is>
      </c>
      <c r="E284" s="3" t="n">
        <v>3</v>
      </c>
      <c r="F284" s="4" t="inlineStr">
        <is>
          <t>4 3 7 2 9 3 7 6</t>
        </is>
      </c>
      <c r="G284" s="3" t="n">
        <v>41</v>
      </c>
      <c r="H284" s="3" t="n">
        <v>41</v>
      </c>
      <c r="I284" s="3" t="inlineStr">
        <is>
          <t>true</t>
        </is>
      </c>
      <c r="J284" s="3" t="n">
        <v>0</v>
      </c>
      <c r="K284" s="3" t="n">
        <v>1400</v>
      </c>
      <c r="L284" s="3" t="n">
        <v>8</v>
      </c>
      <c r="M284" s="5" t="n">
        <v>1.8</v>
      </c>
      <c r="N284" s="3" t="n">
        <v>1</v>
      </c>
      <c r="O284" s="3" t="n">
        <v>9</v>
      </c>
      <c r="P284" s="6">
        <f>LOWER(TRIM(C284))</f>
        <v/>
      </c>
      <c r="Q284" s="6">
        <f>IF(I284="true",1,0)</f>
        <v/>
      </c>
      <c r="R284" s="7">
        <f>IF(K284="","",K284)</f>
        <v/>
      </c>
      <c r="S284" s="6">
        <f>IF(OR(H284="",H284&lt;8,H284&gt;72),"",J284)</f>
        <v/>
      </c>
      <c r="T284" s="6">
        <f>IF(OR(P284="lyrics",P284="instrumental"),1,IF(AND(P284="none",COUNTIFS($B$2:$B$479,B284,$P$2:$P$479,"none")&gt;=3),1,0))</f>
        <v/>
      </c>
    </row>
    <row r="285">
      <c r="A285" s="8" t="n">
        <v>99</v>
      </c>
      <c r="B285" s="9" t="inlineStr">
        <is>
          <t>joran</t>
        </is>
      </c>
      <c r="C285" s="9" t="inlineStr">
        <is>
          <t>lyrics</t>
        </is>
      </c>
      <c r="D285" s="9" t="inlineStr">
        <is>
          <t>2026-10-11T16:32:39.427Z</t>
        </is>
      </c>
      <c r="E285" s="8" t="n">
        <v>1</v>
      </c>
      <c r="F285" s="9" t="inlineStr">
        <is>
          <t>3 5 7 9 1 8 8 9</t>
        </is>
      </c>
      <c r="G285" s="8" t="n">
        <v>50</v>
      </c>
      <c r="H285" s="8" t="n">
        <v>50</v>
      </c>
      <c r="I285" s="8" t="inlineStr">
        <is>
          <t>true</t>
        </is>
      </c>
      <c r="J285" s="8" t="n">
        <v>0</v>
      </c>
      <c r="K285" s="8" t="n">
        <v>1186</v>
      </c>
      <c r="L285" s="8" t="n">
        <v>8</v>
      </c>
      <c r="M285" s="10" t="n">
        <v>1.8</v>
      </c>
      <c r="N285" s="8" t="n">
        <v>1</v>
      </c>
      <c r="O285" s="8" t="n">
        <v>9</v>
      </c>
      <c r="P285" s="6">
        <f>LOWER(TRIM(C285))</f>
        <v/>
      </c>
      <c r="Q285" s="6">
        <f>IF(I285="true",1,0)</f>
        <v/>
      </c>
      <c r="R285" s="7">
        <f>IF(K285="","",K285)</f>
        <v/>
      </c>
      <c r="S285" s="6">
        <f>IF(OR(H285="",H285&lt;8,H285&gt;72),"",J285)</f>
        <v/>
      </c>
      <c r="T285" s="6">
        <f>IF(OR(P285="lyrics",P285="instrumental"),1,IF(AND(P285="none",COUNTIFS($B$2:$B$479,B285,$P$2:$P$479,"none")&gt;=3),1,0))</f>
        <v/>
      </c>
    </row>
    <row r="286">
      <c r="A286" s="3" t="n">
        <v>99</v>
      </c>
      <c r="B286" s="4" t="inlineStr">
        <is>
          <t>joran</t>
        </is>
      </c>
      <c r="C286" s="4" t="inlineStr">
        <is>
          <t>lyrics</t>
        </is>
      </c>
      <c r="D286" s="4" t="inlineStr">
        <is>
          <t>2026-10-11T16:32:39.427Z</t>
        </is>
      </c>
      <c r="E286" s="3" t="n">
        <v>2</v>
      </c>
      <c r="F286" s="4" t="inlineStr">
        <is>
          <t>3 6 9 5 9 2 6 7</t>
        </is>
      </c>
      <c r="G286" s="3" t="n">
        <v>47</v>
      </c>
      <c r="H286" s="3" t="n">
        <v>47</v>
      </c>
      <c r="I286" s="3" t="inlineStr">
        <is>
          <t>true</t>
        </is>
      </c>
      <c r="J286" s="3" t="n">
        <v>0</v>
      </c>
      <c r="K286" s="3" t="n">
        <v>2299</v>
      </c>
      <c r="L286" s="3" t="n">
        <v>8</v>
      </c>
      <c r="M286" s="5" t="n">
        <v>1.8</v>
      </c>
      <c r="N286" s="3" t="n">
        <v>1</v>
      </c>
      <c r="O286" s="3" t="n">
        <v>9</v>
      </c>
      <c r="P286" s="6">
        <f>LOWER(TRIM(C286))</f>
        <v/>
      </c>
      <c r="Q286" s="6">
        <f>IF(I286="true",1,0)</f>
        <v/>
      </c>
      <c r="R286" s="7">
        <f>IF(K286="","",K286)</f>
        <v/>
      </c>
      <c r="S286" s="6">
        <f>IF(OR(H286="",H286&lt;8,H286&gt;72),"",J286)</f>
        <v/>
      </c>
      <c r="T286" s="6">
        <f>IF(OR(P286="lyrics",P286="instrumental"),1,IF(AND(P286="none",COUNTIFS($B$2:$B$479,B286,$P$2:$P$479,"none")&gt;=3),1,0))</f>
        <v/>
      </c>
    </row>
    <row r="287">
      <c r="A287" s="8" t="n">
        <v>99</v>
      </c>
      <c r="B287" s="9" t="inlineStr">
        <is>
          <t>joran</t>
        </is>
      </c>
      <c r="C287" s="9" t="inlineStr">
        <is>
          <t>lyrics</t>
        </is>
      </c>
      <c r="D287" s="9" t="inlineStr">
        <is>
          <t>2026-10-11T16:32:39.427Z</t>
        </is>
      </c>
      <c r="E287" s="8" t="n">
        <v>3</v>
      </c>
      <c r="F287" s="9" t="inlineStr">
        <is>
          <t>2 2 3 3 6 3 2 8</t>
        </is>
      </c>
      <c r="G287" s="8" t="n">
        <v>29</v>
      </c>
      <c r="H287" s="8" t="n">
        <v>29</v>
      </c>
      <c r="I287" s="8" t="inlineStr">
        <is>
          <t>true</t>
        </is>
      </c>
      <c r="J287" s="8" t="n">
        <v>0</v>
      </c>
      <c r="K287" s="8" t="n">
        <v>1617</v>
      </c>
      <c r="L287" s="8" t="n">
        <v>8</v>
      </c>
      <c r="M287" s="10" t="n">
        <v>1.8</v>
      </c>
      <c r="N287" s="8" t="n">
        <v>1</v>
      </c>
      <c r="O287" s="8" t="n">
        <v>9</v>
      </c>
      <c r="P287" s="6">
        <f>LOWER(TRIM(C287))</f>
        <v/>
      </c>
      <c r="Q287" s="6">
        <f>IF(I287="true",1,0)</f>
        <v/>
      </c>
      <c r="R287" s="7">
        <f>IF(K287="","",K287)</f>
        <v/>
      </c>
      <c r="S287" s="6">
        <f>IF(OR(H287="",H287&lt;8,H287&gt;72),"",J287)</f>
        <v/>
      </c>
      <c r="T287" s="6">
        <f>IF(OR(P287="lyrics",P287="instrumental"),1,IF(AND(P287="none",COUNTIFS($B$2:$B$479,B287,$P$2:$P$479,"none")&gt;=3),1,0))</f>
        <v/>
      </c>
    </row>
    <row r="288">
      <c r="A288" s="3" t="n">
        <v>100</v>
      </c>
      <c r="B288" s="4" t="inlineStr">
        <is>
          <t>joran</t>
        </is>
      </c>
      <c r="C288" s="4" t="inlineStr">
        <is>
          <t>instrumental</t>
        </is>
      </c>
      <c r="D288" s="4" t="inlineStr">
        <is>
          <t>2026-10-11T16:34:03.676Z</t>
        </is>
      </c>
      <c r="E288" s="3" t="n">
        <v>1</v>
      </c>
      <c r="F288" s="4" t="inlineStr">
        <is>
          <t>6 2 8 3 2 7 5 6</t>
        </is>
      </c>
      <c r="G288" s="3" t="n">
        <v>39</v>
      </c>
      <c r="H288" s="3" t="n">
        <v>39</v>
      </c>
      <c r="I288" s="3" t="inlineStr">
        <is>
          <t>true</t>
        </is>
      </c>
      <c r="J288" s="3" t="n">
        <v>0</v>
      </c>
      <c r="K288" s="3" t="n">
        <v>3115</v>
      </c>
      <c r="L288" s="3" t="n">
        <v>8</v>
      </c>
      <c r="M288" s="5" t="n">
        <v>1.8</v>
      </c>
      <c r="N288" s="3" t="n">
        <v>1</v>
      </c>
      <c r="O288" s="3" t="n">
        <v>9</v>
      </c>
      <c r="P288" s="6">
        <f>LOWER(TRIM(C288))</f>
        <v/>
      </c>
      <c r="Q288" s="6">
        <f>IF(I288="true",1,0)</f>
        <v/>
      </c>
      <c r="R288" s="7">
        <f>IF(K288="","",K288)</f>
        <v/>
      </c>
      <c r="S288" s="6">
        <f>IF(OR(H288="",H288&lt;8,H288&gt;72),"",J288)</f>
        <v/>
      </c>
      <c r="T288" s="6">
        <f>IF(OR(P288="lyrics",P288="instrumental"),1,IF(AND(P288="none",COUNTIFS($B$2:$B$479,B288,$P$2:$P$479,"none")&gt;=3),1,0))</f>
        <v/>
      </c>
    </row>
    <row r="289">
      <c r="A289" s="8" t="n">
        <v>100</v>
      </c>
      <c r="B289" s="9" t="inlineStr">
        <is>
          <t>joran</t>
        </is>
      </c>
      <c r="C289" s="9" t="inlineStr">
        <is>
          <t>instrumental</t>
        </is>
      </c>
      <c r="D289" s="9" t="inlineStr">
        <is>
          <t>2026-10-11T16:34:03.676Z</t>
        </is>
      </c>
      <c r="E289" s="8" t="n">
        <v>2</v>
      </c>
      <c r="F289" s="9" t="inlineStr">
        <is>
          <t>5 7 8 4 7 7 8 8</t>
        </is>
      </c>
      <c r="G289" s="8" t="n">
        <v>54</v>
      </c>
      <c r="H289" s="8" t="n">
        <v>54</v>
      </c>
      <c r="I289" s="8" t="inlineStr">
        <is>
          <t>true</t>
        </is>
      </c>
      <c r="J289" s="8" t="n">
        <v>0</v>
      </c>
      <c r="K289" s="8" t="n">
        <v>1832</v>
      </c>
      <c r="L289" s="8" t="n">
        <v>8</v>
      </c>
      <c r="M289" s="10" t="n">
        <v>1.8</v>
      </c>
      <c r="N289" s="8" t="n">
        <v>1</v>
      </c>
      <c r="O289" s="8" t="n">
        <v>9</v>
      </c>
      <c r="P289" s="6">
        <f>LOWER(TRIM(C289))</f>
        <v/>
      </c>
      <c r="Q289" s="6">
        <f>IF(I289="true",1,0)</f>
        <v/>
      </c>
      <c r="R289" s="7">
        <f>IF(K289="","",K289)</f>
        <v/>
      </c>
      <c r="S289" s="6">
        <f>IF(OR(H289="",H289&lt;8,H289&gt;72),"",J289)</f>
        <v/>
      </c>
      <c r="T289" s="6">
        <f>IF(OR(P289="lyrics",P289="instrumental"),1,IF(AND(P289="none",COUNTIFS($B$2:$B$479,B289,$P$2:$P$479,"none")&gt;=3),1,0))</f>
        <v/>
      </c>
    </row>
    <row r="290">
      <c r="A290" s="3" t="n">
        <v>100</v>
      </c>
      <c r="B290" s="4" t="inlineStr">
        <is>
          <t>joran</t>
        </is>
      </c>
      <c r="C290" s="4" t="inlineStr">
        <is>
          <t>instrumental</t>
        </is>
      </c>
      <c r="D290" s="4" t="inlineStr">
        <is>
          <t>2026-10-11T16:34:03.676Z</t>
        </is>
      </c>
      <c r="E290" s="3" t="n">
        <v>3</v>
      </c>
      <c r="F290" s="4" t="inlineStr">
        <is>
          <t>4 6 1 5 7 2 8 8</t>
        </is>
      </c>
      <c r="G290" s="3" t="n">
        <v>41</v>
      </c>
      <c r="H290" s="3" t="n">
        <v>41</v>
      </c>
      <c r="I290" s="3" t="inlineStr">
        <is>
          <t>true</t>
        </is>
      </c>
      <c r="J290" s="3" t="n">
        <v>0</v>
      </c>
      <c r="K290" s="3" t="n">
        <v>1052</v>
      </c>
      <c r="L290" s="3" t="n">
        <v>8</v>
      </c>
      <c r="M290" s="5" t="n">
        <v>1.8</v>
      </c>
      <c r="N290" s="3" t="n">
        <v>1</v>
      </c>
      <c r="O290" s="3" t="n">
        <v>9</v>
      </c>
      <c r="P290" s="6">
        <f>LOWER(TRIM(C290))</f>
        <v/>
      </c>
      <c r="Q290" s="6">
        <f>IF(I290="true",1,0)</f>
        <v/>
      </c>
      <c r="R290" s="7">
        <f>IF(K290="","",K290)</f>
        <v/>
      </c>
      <c r="S290" s="6">
        <f>IF(OR(H290="",H290&lt;8,H290&gt;72),"",J290)</f>
        <v/>
      </c>
      <c r="T290" s="6">
        <f>IF(OR(P290="lyrics",P290="instrumental"),1,IF(AND(P290="none",COUNTIFS($B$2:$B$479,B290,$P$2:$P$479,"none")&gt;=3),1,0))</f>
        <v/>
      </c>
    </row>
    <row r="291">
      <c r="A291" s="8" t="n">
        <v>101</v>
      </c>
      <c r="B291" s="9" t="inlineStr">
        <is>
          <t>joran</t>
        </is>
      </c>
      <c r="C291" s="9" t="inlineStr">
        <is>
          <t>instrumental</t>
        </is>
      </c>
      <c r="D291" s="9" t="inlineStr">
        <is>
          <t>2026-10-11T16:35:03.903Z</t>
        </is>
      </c>
      <c r="E291" s="8" t="n">
        <v>1</v>
      </c>
      <c r="F291" s="9" t="inlineStr">
        <is>
          <t>3 4 5 2 3 1 1 2</t>
        </is>
      </c>
      <c r="G291" s="8" t="n">
        <v>21</v>
      </c>
      <c r="H291" s="8" t="n">
        <v>21</v>
      </c>
      <c r="I291" s="8" t="inlineStr">
        <is>
          <t>true</t>
        </is>
      </c>
      <c r="J291" s="8" t="n">
        <v>0</v>
      </c>
      <c r="K291" s="8" t="n">
        <v>1234</v>
      </c>
      <c r="L291" s="8" t="n">
        <v>8</v>
      </c>
      <c r="M291" s="10" t="n">
        <v>1.8</v>
      </c>
      <c r="N291" s="8" t="n">
        <v>1</v>
      </c>
      <c r="O291" s="8" t="n">
        <v>9</v>
      </c>
      <c r="P291" s="6">
        <f>LOWER(TRIM(C291))</f>
        <v/>
      </c>
      <c r="Q291" s="6">
        <f>IF(I291="true",1,0)</f>
        <v/>
      </c>
      <c r="R291" s="7">
        <f>IF(K291="","",K291)</f>
        <v/>
      </c>
      <c r="S291" s="6">
        <f>IF(OR(H291="",H291&lt;8,H291&gt;72),"",J291)</f>
        <v/>
      </c>
      <c r="T291" s="6">
        <f>IF(OR(P291="lyrics",P291="instrumental"),1,IF(AND(P291="none",COUNTIFS($B$2:$B$479,B291,$P$2:$P$479,"none")&gt;=3),1,0))</f>
        <v/>
      </c>
    </row>
    <row r="292">
      <c r="A292" s="3" t="n">
        <v>101</v>
      </c>
      <c r="B292" s="4" t="inlineStr">
        <is>
          <t>joran</t>
        </is>
      </c>
      <c r="C292" s="4" t="inlineStr">
        <is>
          <t>instrumental</t>
        </is>
      </c>
      <c r="D292" s="4" t="inlineStr">
        <is>
          <t>2026-10-11T16:35:03.903Z</t>
        </is>
      </c>
      <c r="E292" s="3" t="n">
        <v>2</v>
      </c>
      <c r="F292" s="4" t="inlineStr">
        <is>
          <t>1 3 9 7 5 4 7 3</t>
        </is>
      </c>
      <c r="G292" s="3" t="n">
        <v>39</v>
      </c>
      <c r="H292" s="3" t="n">
        <v>39</v>
      </c>
      <c r="I292" s="3" t="inlineStr">
        <is>
          <t>true</t>
        </is>
      </c>
      <c r="J292" s="3" t="n">
        <v>0</v>
      </c>
      <c r="K292" s="3" t="n">
        <v>1690</v>
      </c>
      <c r="L292" s="3" t="n">
        <v>8</v>
      </c>
      <c r="M292" s="5" t="n">
        <v>1.8</v>
      </c>
      <c r="N292" s="3" t="n">
        <v>1</v>
      </c>
      <c r="O292" s="3" t="n">
        <v>9</v>
      </c>
      <c r="P292" s="6">
        <f>LOWER(TRIM(C292))</f>
        <v/>
      </c>
      <c r="Q292" s="6">
        <f>IF(I292="true",1,0)</f>
        <v/>
      </c>
      <c r="R292" s="7">
        <f>IF(K292="","",K292)</f>
        <v/>
      </c>
      <c r="S292" s="6">
        <f>IF(OR(H292="",H292&lt;8,H292&gt;72),"",J292)</f>
        <v/>
      </c>
      <c r="T292" s="6">
        <f>IF(OR(P292="lyrics",P292="instrumental"),1,IF(AND(P292="none",COUNTIFS($B$2:$B$479,B292,$P$2:$P$479,"none")&gt;=3),1,0))</f>
        <v/>
      </c>
    </row>
    <row r="293">
      <c r="A293" s="8" t="n">
        <v>101</v>
      </c>
      <c r="B293" s="9" t="inlineStr">
        <is>
          <t>joran</t>
        </is>
      </c>
      <c r="C293" s="9" t="inlineStr">
        <is>
          <t>instrumental</t>
        </is>
      </c>
      <c r="D293" s="9" t="inlineStr">
        <is>
          <t>2026-10-11T16:35:03.903Z</t>
        </is>
      </c>
      <c r="E293" s="8" t="n">
        <v>3</v>
      </c>
      <c r="F293" s="9" t="inlineStr">
        <is>
          <t>6 8 6 8 6 7 2 4</t>
        </is>
      </c>
      <c r="G293" s="8" t="n">
        <v>47</v>
      </c>
      <c r="H293" s="8" t="n">
        <v>47</v>
      </c>
      <c r="I293" s="8" t="inlineStr">
        <is>
          <t>true</t>
        </is>
      </c>
      <c r="J293" s="8" t="n">
        <v>0</v>
      </c>
      <c r="K293" s="8" t="n">
        <v>3276</v>
      </c>
      <c r="L293" s="8" t="n">
        <v>8</v>
      </c>
      <c r="M293" s="10" t="n">
        <v>1.8</v>
      </c>
      <c r="N293" s="8" t="n">
        <v>1</v>
      </c>
      <c r="O293" s="8" t="n">
        <v>9</v>
      </c>
      <c r="P293" s="6">
        <f>LOWER(TRIM(C293))</f>
        <v/>
      </c>
      <c r="Q293" s="6">
        <f>IF(I293="true",1,0)</f>
        <v/>
      </c>
      <c r="R293" s="7">
        <f>IF(K293="","",K293)</f>
        <v/>
      </c>
      <c r="S293" s="6">
        <f>IF(OR(H293="",H293&lt;8,H293&gt;72),"",J293)</f>
        <v/>
      </c>
      <c r="T293" s="6">
        <f>IF(OR(P293="lyrics",P293="instrumental"),1,IF(AND(P293="none",COUNTIFS($B$2:$B$479,B293,$P$2:$P$479,"none")&gt;=3),1,0))</f>
        <v/>
      </c>
    </row>
    <row r="294">
      <c r="A294" s="3" t="n">
        <v>102</v>
      </c>
      <c r="B294" s="4" t="inlineStr">
        <is>
          <t>joran</t>
        </is>
      </c>
      <c r="C294" s="4" t="inlineStr">
        <is>
          <t>instrumental</t>
        </is>
      </c>
      <c r="D294" s="4" t="inlineStr">
        <is>
          <t>2026-10-11T16:36:01.381Z</t>
        </is>
      </c>
      <c r="E294" s="3" t="n">
        <v>1</v>
      </c>
      <c r="F294" s="4" t="inlineStr">
        <is>
          <t>9 7 9 9 7 7 2 6</t>
        </is>
      </c>
      <c r="G294" s="3" t="n">
        <v>56</v>
      </c>
      <c r="H294" s="3" t="n">
        <v>56</v>
      </c>
      <c r="I294" s="3" t="inlineStr">
        <is>
          <t>true</t>
        </is>
      </c>
      <c r="J294" s="3" t="n">
        <v>0</v>
      </c>
      <c r="K294" s="3" t="n">
        <v>1746</v>
      </c>
      <c r="L294" s="3" t="n">
        <v>8</v>
      </c>
      <c r="M294" s="5" t="n">
        <v>1.8</v>
      </c>
      <c r="N294" s="3" t="n">
        <v>1</v>
      </c>
      <c r="O294" s="3" t="n">
        <v>9</v>
      </c>
      <c r="P294" s="6">
        <f>LOWER(TRIM(C294))</f>
        <v/>
      </c>
      <c r="Q294" s="6">
        <f>IF(I294="true",1,0)</f>
        <v/>
      </c>
      <c r="R294" s="7">
        <f>IF(K294="","",K294)</f>
        <v/>
      </c>
      <c r="S294" s="6">
        <f>IF(OR(H294="",H294&lt;8,H294&gt;72),"",J294)</f>
        <v/>
      </c>
      <c r="T294" s="6">
        <f>IF(OR(P294="lyrics",P294="instrumental"),1,IF(AND(P294="none",COUNTIFS($B$2:$B$479,B294,$P$2:$P$479,"none")&gt;=3),1,0))</f>
        <v/>
      </c>
    </row>
    <row r="295">
      <c r="A295" s="8" t="n">
        <v>102</v>
      </c>
      <c r="B295" s="9" t="inlineStr">
        <is>
          <t>joran</t>
        </is>
      </c>
      <c r="C295" s="9" t="inlineStr">
        <is>
          <t>instrumental</t>
        </is>
      </c>
      <c r="D295" s="9" t="inlineStr">
        <is>
          <t>2026-10-11T16:36:01.381Z</t>
        </is>
      </c>
      <c r="E295" s="8" t="n">
        <v>2</v>
      </c>
      <c r="F295" s="9" t="inlineStr">
        <is>
          <t>1 2 2 2 2 2 8 8</t>
        </is>
      </c>
      <c r="G295" s="8" t="n">
        <v>27</v>
      </c>
      <c r="H295" s="8" t="n">
        <v>27</v>
      </c>
      <c r="I295" s="8" t="inlineStr">
        <is>
          <t>true</t>
        </is>
      </c>
      <c r="J295" s="8" t="n">
        <v>0</v>
      </c>
      <c r="K295" s="8" t="n">
        <v>1717</v>
      </c>
      <c r="L295" s="8" t="n">
        <v>8</v>
      </c>
      <c r="M295" s="10" t="n">
        <v>1.8</v>
      </c>
      <c r="N295" s="8" t="n">
        <v>1</v>
      </c>
      <c r="O295" s="8" t="n">
        <v>9</v>
      </c>
      <c r="P295" s="6">
        <f>LOWER(TRIM(C295))</f>
        <v/>
      </c>
      <c r="Q295" s="6">
        <f>IF(I295="true",1,0)</f>
        <v/>
      </c>
      <c r="R295" s="7">
        <f>IF(K295="","",K295)</f>
        <v/>
      </c>
      <c r="S295" s="6">
        <f>IF(OR(H295="",H295&lt;8,H295&gt;72),"",J295)</f>
        <v/>
      </c>
      <c r="T295" s="6">
        <f>IF(OR(P295="lyrics",P295="instrumental"),1,IF(AND(P295="none",COUNTIFS($B$2:$B$479,B295,$P$2:$P$479,"none")&gt;=3),1,0))</f>
        <v/>
      </c>
    </row>
    <row r="296">
      <c r="A296" s="3" t="n">
        <v>102</v>
      </c>
      <c r="B296" s="4" t="inlineStr">
        <is>
          <t>joran</t>
        </is>
      </c>
      <c r="C296" s="4" t="inlineStr">
        <is>
          <t>instrumental</t>
        </is>
      </c>
      <c r="D296" s="4" t="inlineStr">
        <is>
          <t>2026-10-11T16:36:01.381Z</t>
        </is>
      </c>
      <c r="E296" s="3" t="n">
        <v>3</v>
      </c>
      <c r="F296" s="4" t="inlineStr">
        <is>
          <t>8 9 6 3 1 9 2 2</t>
        </is>
      </c>
      <c r="G296" s="3" t="n">
        <v>40</v>
      </c>
      <c r="H296" s="3" t="n">
        <v>40</v>
      </c>
      <c r="I296" s="3" t="inlineStr">
        <is>
          <t>true</t>
        </is>
      </c>
      <c r="J296" s="3" t="n">
        <v>0</v>
      </c>
      <c r="K296" s="3" t="n">
        <v>1073</v>
      </c>
      <c r="L296" s="3" t="n">
        <v>8</v>
      </c>
      <c r="M296" s="5" t="n">
        <v>1.8</v>
      </c>
      <c r="N296" s="3" t="n">
        <v>1</v>
      </c>
      <c r="O296" s="3" t="n">
        <v>9</v>
      </c>
      <c r="P296" s="6">
        <f>LOWER(TRIM(C296))</f>
        <v/>
      </c>
      <c r="Q296" s="6">
        <f>IF(I296="true",1,0)</f>
        <v/>
      </c>
      <c r="R296" s="7">
        <f>IF(K296="","",K296)</f>
        <v/>
      </c>
      <c r="S296" s="6">
        <f>IF(OR(H296="",H296&lt;8,H296&gt;72),"",J296)</f>
        <v/>
      </c>
      <c r="T296" s="6">
        <f>IF(OR(P296="lyrics",P296="instrumental"),1,IF(AND(P296="none",COUNTIFS($B$2:$B$479,B296,$P$2:$P$479,"none")&gt;=3),1,0))</f>
        <v/>
      </c>
    </row>
    <row r="297">
      <c r="A297" s="8" t="n">
        <v>103</v>
      </c>
      <c r="B297" s="9" t="inlineStr">
        <is>
          <t>anne</t>
        </is>
      </c>
      <c r="C297" s="9" t="inlineStr">
        <is>
          <t>none</t>
        </is>
      </c>
      <c r="D297" s="9" t="inlineStr">
        <is>
          <t>2026-10-11T21:21:14.310Z</t>
        </is>
      </c>
      <c r="E297" s="8" t="n">
        <v>1</v>
      </c>
      <c r="F297" s="9" t="inlineStr">
        <is>
          <t>6 1 8 6 8 8 7 5</t>
        </is>
      </c>
      <c r="G297" s="8" t="n">
        <v>49</v>
      </c>
      <c r="H297" s="8" t="n">
        <v>49</v>
      </c>
      <c r="I297" s="8" t="inlineStr">
        <is>
          <t>true</t>
        </is>
      </c>
      <c r="J297" s="8" t="n">
        <v>0</v>
      </c>
      <c r="K297" s="8" t="n">
        <v>2147</v>
      </c>
      <c r="L297" s="8" t="n">
        <v>8</v>
      </c>
      <c r="M297" s="10" t="n">
        <v>1.5</v>
      </c>
      <c r="N297" s="8" t="n">
        <v>1</v>
      </c>
      <c r="O297" s="8" t="n">
        <v>9</v>
      </c>
      <c r="P297" s="6">
        <f>LOWER(TRIM(C297))</f>
        <v/>
      </c>
      <c r="Q297" s="6">
        <f>IF(I297="true",1,0)</f>
        <v/>
      </c>
      <c r="R297" s="7">
        <f>IF(K297="","",K297)</f>
        <v/>
      </c>
      <c r="S297" s="6">
        <f>IF(OR(H297="",H297&lt;8,H297&gt;72),"",J297)</f>
        <v/>
      </c>
      <c r="T297" s="6">
        <f>IF(OR(P297="lyrics",P297="instrumental"),1,IF(AND(P297="none",COUNTIFS($B$2:$B$479,B297,$P$2:$P$479,"none")&gt;=3),1,0))</f>
        <v/>
      </c>
    </row>
    <row r="298">
      <c r="A298" s="3" t="n">
        <v>103</v>
      </c>
      <c r="B298" s="4" t="inlineStr">
        <is>
          <t>anne</t>
        </is>
      </c>
      <c r="C298" s="4" t="inlineStr">
        <is>
          <t>none</t>
        </is>
      </c>
      <c r="D298" s="4" t="inlineStr">
        <is>
          <t>2026-10-11T21:21:14.310Z</t>
        </is>
      </c>
      <c r="E298" s="3" t="n">
        <v>2</v>
      </c>
      <c r="F298" s="4" t="inlineStr">
        <is>
          <t>4 9 1 3 9 3 1 8</t>
        </is>
      </c>
      <c r="G298" s="3" t="n">
        <v>38</v>
      </c>
      <c r="H298" s="3" t="n">
        <v>40</v>
      </c>
      <c r="I298" s="3" t="inlineStr">
        <is>
          <t>false</t>
        </is>
      </c>
      <c r="J298" s="3" t="n">
        <v>2</v>
      </c>
      <c r="K298" s="3" t="n">
        <v>5526</v>
      </c>
      <c r="L298" s="3" t="n">
        <v>8</v>
      </c>
      <c r="M298" s="5" t="n">
        <v>1.5</v>
      </c>
      <c r="N298" s="3" t="n">
        <v>1</v>
      </c>
      <c r="O298" s="3" t="n">
        <v>9</v>
      </c>
      <c r="P298" s="6">
        <f>LOWER(TRIM(C298))</f>
        <v/>
      </c>
      <c r="Q298" s="6">
        <f>IF(I298="true",1,0)</f>
        <v/>
      </c>
      <c r="R298" s="7">
        <f>IF(K298="","",K298)</f>
        <v/>
      </c>
      <c r="S298" s="6">
        <f>IF(OR(H298="",H298&lt;8,H298&gt;72),"",J298)</f>
        <v/>
      </c>
      <c r="T298" s="6">
        <f>IF(OR(P298="lyrics",P298="instrumental"),1,IF(AND(P298="none",COUNTIFS($B$2:$B$479,B298,$P$2:$P$479,"none")&gt;=3),1,0))</f>
        <v/>
      </c>
    </row>
    <row r="299">
      <c r="A299" s="8" t="n">
        <v>104</v>
      </c>
      <c r="B299" s="9" t="inlineStr">
        <is>
          <t>anne</t>
        </is>
      </c>
      <c r="C299" s="9" t="inlineStr">
        <is>
          <t>lyrics</t>
        </is>
      </c>
      <c r="D299" s="9" t="inlineStr">
        <is>
          <t>2026-10-11T21:22:50.834Z</t>
        </is>
      </c>
      <c r="E299" s="8" t="n">
        <v>1</v>
      </c>
      <c r="F299" s="9" t="inlineStr">
        <is>
          <t>4 1 8 6 2 6 9 4</t>
        </is>
      </c>
      <c r="G299" s="8" t="n">
        <v>40</v>
      </c>
      <c r="H299" s="8" t="n">
        <v>40</v>
      </c>
      <c r="I299" s="8" t="inlineStr">
        <is>
          <t>true</t>
        </is>
      </c>
      <c r="J299" s="8" t="n">
        <v>0</v>
      </c>
      <c r="K299" s="8" t="n">
        <v>2575</v>
      </c>
      <c r="L299" s="8" t="n">
        <v>8</v>
      </c>
      <c r="M299" s="10" t="n">
        <v>1.5</v>
      </c>
      <c r="N299" s="8" t="n">
        <v>1</v>
      </c>
      <c r="O299" s="8" t="n">
        <v>9</v>
      </c>
      <c r="P299" s="6">
        <f>LOWER(TRIM(C299))</f>
        <v/>
      </c>
      <c r="Q299" s="6">
        <f>IF(I299="true",1,0)</f>
        <v/>
      </c>
      <c r="R299" s="7">
        <f>IF(K299="","",K299)</f>
        <v/>
      </c>
      <c r="S299" s="6">
        <f>IF(OR(H299="",H299&lt;8,H299&gt;72),"",J299)</f>
        <v/>
      </c>
      <c r="T299" s="6">
        <f>IF(OR(P299="lyrics",P299="instrumental"),1,IF(AND(P299="none",COUNTIFS($B$2:$B$479,B299,$P$2:$P$479,"none")&gt;=3),1,0))</f>
        <v/>
      </c>
    </row>
    <row r="300">
      <c r="A300" s="3" t="n">
        <v>104</v>
      </c>
      <c r="B300" s="4" t="inlineStr">
        <is>
          <t>anne</t>
        </is>
      </c>
      <c r="C300" s="4" t="inlineStr">
        <is>
          <t>lyrics</t>
        </is>
      </c>
      <c r="D300" s="4" t="inlineStr">
        <is>
          <t>2026-10-11T21:22:50.834Z</t>
        </is>
      </c>
      <c r="E300" s="3" t="n">
        <v>2</v>
      </c>
      <c r="F300" s="4" t="inlineStr">
        <is>
          <t>5 7 3 5 8 2 2 7</t>
        </is>
      </c>
      <c r="G300" s="3" t="n">
        <v>39</v>
      </c>
      <c r="H300" s="3" t="n">
        <v>39</v>
      </c>
      <c r="I300" s="3" t="inlineStr">
        <is>
          <t>true</t>
        </is>
      </c>
      <c r="J300" s="3" t="n">
        <v>0</v>
      </c>
      <c r="K300" s="3" t="n">
        <v>2266</v>
      </c>
      <c r="L300" s="3" t="n">
        <v>8</v>
      </c>
      <c r="M300" s="5" t="n">
        <v>1.5</v>
      </c>
      <c r="N300" s="3" t="n">
        <v>1</v>
      </c>
      <c r="O300" s="3" t="n">
        <v>9</v>
      </c>
      <c r="P300" s="6">
        <f>LOWER(TRIM(C300))</f>
        <v/>
      </c>
      <c r="Q300" s="6">
        <f>IF(I300="true",1,0)</f>
        <v/>
      </c>
      <c r="R300" s="7">
        <f>IF(K300="","",K300)</f>
        <v/>
      </c>
      <c r="S300" s="6">
        <f>IF(OR(H300="",H300&lt;8,H300&gt;72),"",J300)</f>
        <v/>
      </c>
      <c r="T300" s="6">
        <f>IF(OR(P300="lyrics",P300="instrumental"),1,IF(AND(P300="none",COUNTIFS($B$2:$B$479,B300,$P$2:$P$479,"none")&gt;=3),1,0))</f>
        <v/>
      </c>
    </row>
    <row r="301">
      <c r="A301" s="8" t="n">
        <v>104</v>
      </c>
      <c r="B301" s="9" t="inlineStr">
        <is>
          <t>anne</t>
        </is>
      </c>
      <c r="C301" s="9" t="inlineStr">
        <is>
          <t>lyrics</t>
        </is>
      </c>
      <c r="D301" s="9" t="inlineStr">
        <is>
          <t>2026-10-11T21:22:50.834Z</t>
        </is>
      </c>
      <c r="E301" s="8" t="n">
        <v>3</v>
      </c>
      <c r="F301" s="9" t="inlineStr">
        <is>
          <t>8 1 1 6 3 2 6 1</t>
        </is>
      </c>
      <c r="G301" s="8" t="n">
        <v>28</v>
      </c>
      <c r="H301" s="8" t="n">
        <v>28</v>
      </c>
      <c r="I301" s="8" t="inlineStr">
        <is>
          <t>true</t>
        </is>
      </c>
      <c r="J301" s="8" t="n">
        <v>0</v>
      </c>
      <c r="K301" s="8" t="n">
        <v>2565</v>
      </c>
      <c r="L301" s="8" t="n">
        <v>8</v>
      </c>
      <c r="M301" s="10" t="n">
        <v>1.5</v>
      </c>
      <c r="N301" s="8" t="n">
        <v>1</v>
      </c>
      <c r="O301" s="8" t="n">
        <v>9</v>
      </c>
      <c r="P301" s="6">
        <f>LOWER(TRIM(C301))</f>
        <v/>
      </c>
      <c r="Q301" s="6">
        <f>IF(I301="true",1,0)</f>
        <v/>
      </c>
      <c r="R301" s="7">
        <f>IF(K301="","",K301)</f>
        <v/>
      </c>
      <c r="S301" s="6">
        <f>IF(OR(H301="",H301&lt;8,H301&gt;72),"",J301)</f>
        <v/>
      </c>
      <c r="T301" s="6">
        <f>IF(OR(P301="lyrics",P301="instrumental"),1,IF(AND(P301="none",COUNTIFS($B$2:$B$479,B301,$P$2:$P$479,"none")&gt;=3),1,0))</f>
        <v/>
      </c>
    </row>
    <row r="302">
      <c r="A302" s="3" t="n">
        <v>105</v>
      </c>
      <c r="B302" s="4" t="inlineStr">
        <is>
          <t>anne</t>
        </is>
      </c>
      <c r="C302" s="4" t="inlineStr">
        <is>
          <t>lyrics</t>
        </is>
      </c>
      <c r="D302" s="4" t="inlineStr">
        <is>
          <t>2026-10-11T21:23:53.958Z</t>
        </is>
      </c>
      <c r="E302" s="3" t="n">
        <v>1</v>
      </c>
      <c r="F302" s="4" t="inlineStr">
        <is>
          <t>2 6 9 6 1 7 2 5</t>
        </is>
      </c>
      <c r="G302" s="3" t="n">
        <v>38</v>
      </c>
      <c r="H302" s="3" t="n">
        <v>39</v>
      </c>
      <c r="I302" s="3" t="inlineStr">
        <is>
          <t>false</t>
        </is>
      </c>
      <c r="J302" s="3" t="n">
        <v>1</v>
      </c>
      <c r="K302" s="3" t="n">
        <v>4876</v>
      </c>
      <c r="L302" s="3" t="n">
        <v>8</v>
      </c>
      <c r="M302" s="5" t="n">
        <v>1.5</v>
      </c>
      <c r="N302" s="3" t="n">
        <v>1</v>
      </c>
      <c r="O302" s="3" t="n">
        <v>9</v>
      </c>
      <c r="P302" s="6">
        <f>LOWER(TRIM(C302))</f>
        <v/>
      </c>
      <c r="Q302" s="6">
        <f>IF(I302="true",1,0)</f>
        <v/>
      </c>
      <c r="R302" s="7">
        <f>IF(K302="","",K302)</f>
        <v/>
      </c>
      <c r="S302" s="6">
        <f>IF(OR(H302="",H302&lt;8,H302&gt;72),"",J302)</f>
        <v/>
      </c>
      <c r="T302" s="6">
        <f>IF(OR(P302="lyrics",P302="instrumental"),1,IF(AND(P302="none",COUNTIFS($B$2:$B$479,B302,$P$2:$P$479,"none")&gt;=3),1,0))</f>
        <v/>
      </c>
    </row>
    <row r="303">
      <c r="A303" s="8" t="n">
        <v>105</v>
      </c>
      <c r="B303" s="9" t="inlineStr">
        <is>
          <t>anne</t>
        </is>
      </c>
      <c r="C303" s="9" t="inlineStr">
        <is>
          <t>lyrics</t>
        </is>
      </c>
      <c r="D303" s="9" t="inlineStr">
        <is>
          <t>2026-10-11T21:23:53.958Z</t>
        </is>
      </c>
      <c r="E303" s="8" t="n">
        <v>2</v>
      </c>
      <c r="F303" s="9" t="inlineStr">
        <is>
          <t>5 6 9 7 3 8 6 4</t>
        </is>
      </c>
      <c r="G303" s="8" t="n">
        <v>48</v>
      </c>
      <c r="H303" s="8" t="n">
        <v>46</v>
      </c>
      <c r="I303" s="8" t="inlineStr">
        <is>
          <t>false</t>
        </is>
      </c>
      <c r="J303" s="8" t="n">
        <v>2</v>
      </c>
      <c r="K303" s="8" t="n">
        <v>3879</v>
      </c>
      <c r="L303" s="8" t="n">
        <v>8</v>
      </c>
      <c r="M303" s="10" t="n">
        <v>1.5</v>
      </c>
      <c r="N303" s="8" t="n">
        <v>1</v>
      </c>
      <c r="O303" s="8" t="n">
        <v>9</v>
      </c>
      <c r="P303" s="6">
        <f>LOWER(TRIM(C303))</f>
        <v/>
      </c>
      <c r="Q303" s="6">
        <f>IF(I303="true",1,0)</f>
        <v/>
      </c>
      <c r="R303" s="7">
        <f>IF(K303="","",K303)</f>
        <v/>
      </c>
      <c r="S303" s="6">
        <f>IF(OR(H303="",H303&lt;8,H303&gt;72),"",J303)</f>
        <v/>
      </c>
      <c r="T303" s="6">
        <f>IF(OR(P303="lyrics",P303="instrumental"),1,IF(AND(P303="none",COUNTIFS($B$2:$B$479,B303,$P$2:$P$479,"none")&gt;=3),1,0))</f>
        <v/>
      </c>
    </row>
    <row r="304">
      <c r="A304" s="3" t="n">
        <v>105</v>
      </c>
      <c r="B304" s="4" t="inlineStr">
        <is>
          <t>anne</t>
        </is>
      </c>
      <c r="C304" s="4" t="inlineStr">
        <is>
          <t>lyrics</t>
        </is>
      </c>
      <c r="D304" s="4" t="inlineStr">
        <is>
          <t>2026-10-11T21:23:53.958Z</t>
        </is>
      </c>
      <c r="E304" s="3" t="n">
        <v>3</v>
      </c>
      <c r="F304" s="4" t="inlineStr">
        <is>
          <t>9 3 4 4 3 7 7 7</t>
        </is>
      </c>
      <c r="G304" s="3" t="n">
        <v>44</v>
      </c>
      <c r="H304" s="3" t="n">
        <v>44</v>
      </c>
      <c r="I304" s="3" t="inlineStr">
        <is>
          <t>true</t>
        </is>
      </c>
      <c r="J304" s="3" t="n">
        <v>0</v>
      </c>
      <c r="K304" s="3" t="n">
        <v>1708</v>
      </c>
      <c r="L304" s="3" t="n">
        <v>8</v>
      </c>
      <c r="M304" s="5" t="n">
        <v>1.5</v>
      </c>
      <c r="N304" s="3" t="n">
        <v>1</v>
      </c>
      <c r="O304" s="3" t="n">
        <v>9</v>
      </c>
      <c r="P304" s="6">
        <f>LOWER(TRIM(C304))</f>
        <v/>
      </c>
      <c r="Q304" s="6">
        <f>IF(I304="true",1,0)</f>
        <v/>
      </c>
      <c r="R304" s="7">
        <f>IF(K304="","",K304)</f>
        <v/>
      </c>
      <c r="S304" s="6">
        <f>IF(OR(H304="",H304&lt;8,H304&gt;72),"",J304)</f>
        <v/>
      </c>
      <c r="T304" s="6">
        <f>IF(OR(P304="lyrics",P304="instrumental"),1,IF(AND(P304="none",COUNTIFS($B$2:$B$479,B304,$P$2:$P$479,"none")&gt;=3),1,0))</f>
        <v/>
      </c>
    </row>
    <row r="305">
      <c r="A305" s="8" t="n">
        <v>106</v>
      </c>
      <c r="B305" s="9" t="inlineStr">
        <is>
          <t>anne</t>
        </is>
      </c>
      <c r="C305" s="9" t="inlineStr">
        <is>
          <t>lyrics</t>
        </is>
      </c>
      <c r="D305" s="9" t="inlineStr">
        <is>
          <t>2026-10-11T21:24:54.364Z</t>
        </is>
      </c>
      <c r="E305" s="8" t="n">
        <v>1</v>
      </c>
      <c r="F305" s="9" t="inlineStr">
        <is>
          <t>8 5 5 1 3 3 6 9</t>
        </is>
      </c>
      <c r="G305" s="8" t="n">
        <v>40</v>
      </c>
      <c r="H305" s="8" t="n">
        <v>40</v>
      </c>
      <c r="I305" s="8" t="inlineStr">
        <is>
          <t>true</t>
        </is>
      </c>
      <c r="J305" s="8" t="n">
        <v>0</v>
      </c>
      <c r="K305" s="8" t="n">
        <v>2852</v>
      </c>
      <c r="L305" s="8" t="n">
        <v>8</v>
      </c>
      <c r="M305" s="10" t="n">
        <v>1.5</v>
      </c>
      <c r="N305" s="8" t="n">
        <v>1</v>
      </c>
      <c r="O305" s="8" t="n">
        <v>9</v>
      </c>
      <c r="P305" s="6">
        <f>LOWER(TRIM(C305))</f>
        <v/>
      </c>
      <c r="Q305" s="6">
        <f>IF(I305="true",1,0)</f>
        <v/>
      </c>
      <c r="R305" s="7">
        <f>IF(K305="","",K305)</f>
        <v/>
      </c>
      <c r="S305" s="6">
        <f>IF(OR(H305="",H305&lt;8,H305&gt;72),"",J305)</f>
        <v/>
      </c>
      <c r="T305" s="6">
        <f>IF(OR(P305="lyrics",P305="instrumental"),1,IF(AND(P305="none",COUNTIFS($B$2:$B$479,B305,$P$2:$P$479,"none")&gt;=3),1,0))</f>
        <v/>
      </c>
    </row>
    <row r="306">
      <c r="A306" s="3" t="n">
        <v>106</v>
      </c>
      <c r="B306" s="4" t="inlineStr">
        <is>
          <t>anne</t>
        </is>
      </c>
      <c r="C306" s="4" t="inlineStr">
        <is>
          <t>lyrics</t>
        </is>
      </c>
      <c r="D306" s="4" t="inlineStr">
        <is>
          <t>2026-10-11T21:24:54.364Z</t>
        </is>
      </c>
      <c r="E306" s="3" t="n">
        <v>2</v>
      </c>
      <c r="F306" s="4" t="inlineStr">
        <is>
          <t>2 3 7 2 6 5 1 9</t>
        </is>
      </c>
      <c r="G306" s="3" t="n">
        <v>35</v>
      </c>
      <c r="H306" s="3" t="n">
        <v>35</v>
      </c>
      <c r="I306" s="3" t="inlineStr">
        <is>
          <t>true</t>
        </is>
      </c>
      <c r="J306" s="3" t="n">
        <v>0</v>
      </c>
      <c r="K306" s="3" t="n">
        <v>2686</v>
      </c>
      <c r="L306" s="3" t="n">
        <v>8</v>
      </c>
      <c r="M306" s="5" t="n">
        <v>1.5</v>
      </c>
      <c r="N306" s="3" t="n">
        <v>1</v>
      </c>
      <c r="O306" s="3" t="n">
        <v>9</v>
      </c>
      <c r="P306" s="6">
        <f>LOWER(TRIM(C306))</f>
        <v/>
      </c>
      <c r="Q306" s="6">
        <f>IF(I306="true",1,0)</f>
        <v/>
      </c>
      <c r="R306" s="7">
        <f>IF(K306="","",K306)</f>
        <v/>
      </c>
      <c r="S306" s="6">
        <f>IF(OR(H306="",H306&lt;8,H306&gt;72),"",J306)</f>
        <v/>
      </c>
      <c r="T306" s="6">
        <f>IF(OR(P306="lyrics",P306="instrumental"),1,IF(AND(P306="none",COUNTIFS($B$2:$B$479,B306,$P$2:$P$479,"none")&gt;=3),1,0))</f>
        <v/>
      </c>
    </row>
    <row r="307">
      <c r="A307" s="8" t="n">
        <v>106</v>
      </c>
      <c r="B307" s="9" t="inlineStr">
        <is>
          <t>anne</t>
        </is>
      </c>
      <c r="C307" s="9" t="inlineStr">
        <is>
          <t>lyrics</t>
        </is>
      </c>
      <c r="D307" s="9" t="inlineStr">
        <is>
          <t>2026-10-11T21:24:54.364Z</t>
        </is>
      </c>
      <c r="E307" s="8" t="n">
        <v>3</v>
      </c>
      <c r="F307" s="9" t="inlineStr">
        <is>
          <t>9 1 9 7 8 9 9 4</t>
        </is>
      </c>
      <c r="G307" s="8" t="n">
        <v>56</v>
      </c>
      <c r="H307" s="8" t="n">
        <v>40</v>
      </c>
      <c r="I307" s="8" t="inlineStr">
        <is>
          <t>false</t>
        </is>
      </c>
      <c r="J307" s="8" t="n">
        <v>16</v>
      </c>
      <c r="K307" s="8" t="n">
        <v>3352</v>
      </c>
      <c r="L307" s="8" t="n">
        <v>8</v>
      </c>
      <c r="M307" s="10" t="n">
        <v>1.5</v>
      </c>
      <c r="N307" s="8" t="n">
        <v>1</v>
      </c>
      <c r="O307" s="8" t="n">
        <v>9</v>
      </c>
      <c r="P307" s="6">
        <f>LOWER(TRIM(C307))</f>
        <v/>
      </c>
      <c r="Q307" s="6">
        <f>IF(I307="true",1,0)</f>
        <v/>
      </c>
      <c r="R307" s="7">
        <f>IF(K307="","",K307)</f>
        <v/>
      </c>
      <c r="S307" s="6">
        <f>IF(OR(H307="",H307&lt;8,H307&gt;72),"",J307)</f>
        <v/>
      </c>
      <c r="T307" s="6">
        <f>IF(OR(P307="lyrics",P307="instrumental"),1,IF(AND(P307="none",COUNTIFS($B$2:$B$479,B307,$P$2:$P$479,"none")&gt;=3),1,0))</f>
        <v/>
      </c>
    </row>
    <row r="308">
      <c r="A308" s="3" t="n">
        <v>107</v>
      </c>
      <c r="B308" s="4" t="inlineStr">
        <is>
          <t>anne</t>
        </is>
      </c>
      <c r="C308" s="4" t="inlineStr">
        <is>
          <t>instrumental</t>
        </is>
      </c>
      <c r="D308" s="4" t="inlineStr">
        <is>
          <t>2026-10-11T21:26:24.481Z</t>
        </is>
      </c>
      <c r="E308" s="3" t="n">
        <v>1</v>
      </c>
      <c r="F308" s="4" t="inlineStr">
        <is>
          <t>9 8 6 7 2 5 7 6</t>
        </is>
      </c>
      <c r="G308" s="3" t="n">
        <v>50</v>
      </c>
      <c r="H308" s="3" t="n">
        <v>50</v>
      </c>
      <c r="I308" s="3" t="inlineStr">
        <is>
          <t>true</t>
        </is>
      </c>
      <c r="J308" s="3" t="n">
        <v>0</v>
      </c>
      <c r="K308" s="3" t="n">
        <v>1425</v>
      </c>
      <c r="L308" s="3" t="n">
        <v>8</v>
      </c>
      <c r="M308" s="5" t="n">
        <v>1.5</v>
      </c>
      <c r="N308" s="3" t="n">
        <v>1</v>
      </c>
      <c r="O308" s="3" t="n">
        <v>9</v>
      </c>
      <c r="P308" s="6">
        <f>LOWER(TRIM(C308))</f>
        <v/>
      </c>
      <c r="Q308" s="6">
        <f>IF(I308="true",1,0)</f>
        <v/>
      </c>
      <c r="R308" s="7">
        <f>IF(K308="","",K308)</f>
        <v/>
      </c>
      <c r="S308" s="6">
        <f>IF(OR(H308="",H308&lt;8,H308&gt;72),"",J308)</f>
        <v/>
      </c>
      <c r="T308" s="6">
        <f>IF(OR(P308="lyrics",P308="instrumental"),1,IF(AND(P308="none",COUNTIFS($B$2:$B$479,B308,$P$2:$P$479,"none")&gt;=3),1,0))</f>
        <v/>
      </c>
    </row>
    <row r="309">
      <c r="A309" s="8" t="n">
        <v>107</v>
      </c>
      <c r="B309" s="9" t="inlineStr">
        <is>
          <t>anne</t>
        </is>
      </c>
      <c r="C309" s="9" t="inlineStr">
        <is>
          <t>instrumental</t>
        </is>
      </c>
      <c r="D309" s="9" t="inlineStr">
        <is>
          <t>2026-10-11T21:26:24.481Z</t>
        </is>
      </c>
      <c r="E309" s="8" t="n">
        <v>2</v>
      </c>
      <c r="F309" s="9" t="inlineStr">
        <is>
          <t>9 4 3 5 1 6 4 4</t>
        </is>
      </c>
      <c r="G309" s="8" t="n">
        <v>36</v>
      </c>
      <c r="H309" s="8" t="n">
        <v>36</v>
      </c>
      <c r="I309" s="8" t="inlineStr">
        <is>
          <t>true</t>
        </is>
      </c>
      <c r="J309" s="8" t="n">
        <v>0</v>
      </c>
      <c r="K309" s="8" t="n">
        <v>2237</v>
      </c>
      <c r="L309" s="8" t="n">
        <v>8</v>
      </c>
      <c r="M309" s="10" t="n">
        <v>1.5</v>
      </c>
      <c r="N309" s="8" t="n">
        <v>1</v>
      </c>
      <c r="O309" s="8" t="n">
        <v>9</v>
      </c>
      <c r="P309" s="6">
        <f>LOWER(TRIM(C309))</f>
        <v/>
      </c>
      <c r="Q309" s="6">
        <f>IF(I309="true",1,0)</f>
        <v/>
      </c>
      <c r="R309" s="7">
        <f>IF(K309="","",K309)</f>
        <v/>
      </c>
      <c r="S309" s="6">
        <f>IF(OR(H309="",H309&lt;8,H309&gt;72),"",J309)</f>
        <v/>
      </c>
      <c r="T309" s="6">
        <f>IF(OR(P309="lyrics",P309="instrumental"),1,IF(AND(P309="none",COUNTIFS($B$2:$B$479,B309,$P$2:$P$479,"none")&gt;=3),1,0))</f>
        <v/>
      </c>
    </row>
    <row r="310">
      <c r="A310" s="3" t="n">
        <v>107</v>
      </c>
      <c r="B310" s="4" t="inlineStr">
        <is>
          <t>anne</t>
        </is>
      </c>
      <c r="C310" s="4" t="inlineStr">
        <is>
          <t>instrumental</t>
        </is>
      </c>
      <c r="D310" s="4" t="inlineStr">
        <is>
          <t>2026-10-11T21:26:24.481Z</t>
        </is>
      </c>
      <c r="E310" s="3" t="n">
        <v>3</v>
      </c>
      <c r="F310" s="4" t="inlineStr">
        <is>
          <t>8 2 5 1 3 3 8 8</t>
        </is>
      </c>
      <c r="G310" s="3" t="n">
        <v>38</v>
      </c>
      <c r="H310" s="3" t="n">
        <v>38</v>
      </c>
      <c r="I310" s="3" t="inlineStr">
        <is>
          <t>true</t>
        </is>
      </c>
      <c r="J310" s="3" t="n">
        <v>0</v>
      </c>
      <c r="K310" s="3" t="n">
        <v>1557</v>
      </c>
      <c r="L310" s="3" t="n">
        <v>8</v>
      </c>
      <c r="M310" s="5" t="n">
        <v>1.5</v>
      </c>
      <c r="N310" s="3" t="n">
        <v>1</v>
      </c>
      <c r="O310" s="3" t="n">
        <v>9</v>
      </c>
      <c r="P310" s="6">
        <f>LOWER(TRIM(C310))</f>
        <v/>
      </c>
      <c r="Q310" s="6">
        <f>IF(I310="true",1,0)</f>
        <v/>
      </c>
      <c r="R310" s="7">
        <f>IF(K310="","",K310)</f>
        <v/>
      </c>
      <c r="S310" s="6">
        <f>IF(OR(H310="",H310&lt;8,H310&gt;72),"",J310)</f>
        <v/>
      </c>
      <c r="T310" s="6">
        <f>IF(OR(P310="lyrics",P310="instrumental"),1,IF(AND(P310="none",COUNTIFS($B$2:$B$479,B310,$P$2:$P$479,"none")&gt;=3),1,0))</f>
        <v/>
      </c>
    </row>
    <row r="311">
      <c r="A311" s="8" t="n">
        <v>108</v>
      </c>
      <c r="B311" s="9" t="inlineStr">
        <is>
          <t>anne</t>
        </is>
      </c>
      <c r="C311" s="9" t="inlineStr">
        <is>
          <t>instrumental</t>
        </is>
      </c>
      <c r="D311" s="9" t="inlineStr">
        <is>
          <t>2026-10-11T21:27:17.008Z</t>
        </is>
      </c>
      <c r="E311" s="8" t="n">
        <v>1</v>
      </c>
      <c r="F311" s="9" t="inlineStr">
        <is>
          <t>7 8 2 8 4 7 3 1</t>
        </is>
      </c>
      <c r="G311" s="8" t="n">
        <v>40</v>
      </c>
      <c r="H311" s="8" t="n">
        <v>40</v>
      </c>
      <c r="I311" s="8" t="inlineStr">
        <is>
          <t>true</t>
        </is>
      </c>
      <c r="J311" s="8" t="n">
        <v>0</v>
      </c>
      <c r="K311" s="8" t="n">
        <v>1655</v>
      </c>
      <c r="L311" s="8" t="n">
        <v>8</v>
      </c>
      <c r="M311" s="10" t="n">
        <v>1.5</v>
      </c>
      <c r="N311" s="8" t="n">
        <v>1</v>
      </c>
      <c r="O311" s="8" t="n">
        <v>9</v>
      </c>
      <c r="P311" s="6">
        <f>LOWER(TRIM(C311))</f>
        <v/>
      </c>
      <c r="Q311" s="6">
        <f>IF(I311="true",1,0)</f>
        <v/>
      </c>
      <c r="R311" s="7">
        <f>IF(K311="","",K311)</f>
        <v/>
      </c>
      <c r="S311" s="6">
        <f>IF(OR(H311="",H311&lt;8,H311&gt;72),"",J311)</f>
        <v/>
      </c>
      <c r="T311" s="6">
        <f>IF(OR(P311="lyrics",P311="instrumental"),1,IF(AND(P311="none",COUNTIFS($B$2:$B$479,B311,$P$2:$P$479,"none")&gt;=3),1,0))</f>
        <v/>
      </c>
    </row>
    <row r="312">
      <c r="A312" s="3" t="n">
        <v>108</v>
      </c>
      <c r="B312" s="4" t="inlineStr">
        <is>
          <t>anne</t>
        </is>
      </c>
      <c r="C312" s="4" t="inlineStr">
        <is>
          <t>instrumental</t>
        </is>
      </c>
      <c r="D312" s="4" t="inlineStr">
        <is>
          <t>2026-10-11T21:27:17.008Z</t>
        </is>
      </c>
      <c r="E312" s="3" t="n">
        <v>2</v>
      </c>
      <c r="F312" s="4" t="inlineStr">
        <is>
          <t>2 7 4 7 8 9 8 1</t>
        </is>
      </c>
      <c r="G312" s="3" t="n">
        <v>46</v>
      </c>
      <c r="H312" s="3" t="n">
        <v>46</v>
      </c>
      <c r="I312" s="3" t="inlineStr">
        <is>
          <t>true</t>
        </is>
      </c>
      <c r="J312" s="3" t="n">
        <v>0</v>
      </c>
      <c r="K312" s="3" t="n">
        <v>2209</v>
      </c>
      <c r="L312" s="3" t="n">
        <v>8</v>
      </c>
      <c r="M312" s="5" t="n">
        <v>1.5</v>
      </c>
      <c r="N312" s="3" t="n">
        <v>1</v>
      </c>
      <c r="O312" s="3" t="n">
        <v>9</v>
      </c>
      <c r="P312" s="6">
        <f>LOWER(TRIM(C312))</f>
        <v/>
      </c>
      <c r="Q312" s="6">
        <f>IF(I312="true",1,0)</f>
        <v/>
      </c>
      <c r="R312" s="7">
        <f>IF(K312="","",K312)</f>
        <v/>
      </c>
      <c r="S312" s="6">
        <f>IF(OR(H312="",H312&lt;8,H312&gt;72),"",J312)</f>
        <v/>
      </c>
      <c r="T312" s="6">
        <f>IF(OR(P312="lyrics",P312="instrumental"),1,IF(AND(P312="none",COUNTIFS($B$2:$B$479,B312,$P$2:$P$479,"none")&gt;=3),1,0))</f>
        <v/>
      </c>
    </row>
    <row r="313">
      <c r="A313" s="8" t="n">
        <v>108</v>
      </c>
      <c r="B313" s="9" t="inlineStr">
        <is>
          <t>anne</t>
        </is>
      </c>
      <c r="C313" s="9" t="inlineStr">
        <is>
          <t>instrumental</t>
        </is>
      </c>
      <c r="D313" s="9" t="inlineStr">
        <is>
          <t>2026-10-11T21:27:17.008Z</t>
        </is>
      </c>
      <c r="E313" s="8" t="n">
        <v>3</v>
      </c>
      <c r="F313" s="9" t="inlineStr">
        <is>
          <t>8 5 1 8 9 4 4 5</t>
        </is>
      </c>
      <c r="G313" s="8" t="n">
        <v>44</v>
      </c>
      <c r="H313" s="8" t="n">
        <v>44</v>
      </c>
      <c r="I313" s="8" t="inlineStr">
        <is>
          <t>true</t>
        </is>
      </c>
      <c r="J313" s="8" t="n">
        <v>0</v>
      </c>
      <c r="K313" s="8" t="n">
        <v>1589</v>
      </c>
      <c r="L313" s="8" t="n">
        <v>8</v>
      </c>
      <c r="M313" s="10" t="n">
        <v>1.5</v>
      </c>
      <c r="N313" s="8" t="n">
        <v>1</v>
      </c>
      <c r="O313" s="8" t="n">
        <v>9</v>
      </c>
      <c r="P313" s="6">
        <f>LOWER(TRIM(C313))</f>
        <v/>
      </c>
      <c r="Q313" s="6">
        <f>IF(I313="true",1,0)</f>
        <v/>
      </c>
      <c r="R313" s="7">
        <f>IF(K313="","",K313)</f>
        <v/>
      </c>
      <c r="S313" s="6">
        <f>IF(OR(H313="",H313&lt;8,H313&gt;72),"",J313)</f>
        <v/>
      </c>
      <c r="T313" s="6">
        <f>IF(OR(P313="lyrics",P313="instrumental"),1,IF(AND(P313="none",COUNTIFS($B$2:$B$479,B313,$P$2:$P$479,"none")&gt;=3),1,0))</f>
        <v/>
      </c>
    </row>
    <row r="314">
      <c r="A314" s="3" t="n">
        <v>109</v>
      </c>
      <c r="B314" s="4" t="inlineStr">
        <is>
          <t>anne</t>
        </is>
      </c>
      <c r="C314" s="4" t="inlineStr">
        <is>
          <t>instrumental</t>
        </is>
      </c>
      <c r="D314" s="4" t="inlineStr">
        <is>
          <t>2026-10-11T21:28:21.371Z</t>
        </is>
      </c>
      <c r="E314" s="3" t="n">
        <v>1</v>
      </c>
      <c r="F314" s="4" t="inlineStr">
        <is>
          <t>1 1 5 9 8 3 2 6</t>
        </is>
      </c>
      <c r="G314" s="3" t="n">
        <v>35</v>
      </c>
      <c r="H314" s="3" t="n">
        <v>35</v>
      </c>
      <c r="I314" s="3" t="inlineStr">
        <is>
          <t>true</t>
        </is>
      </c>
      <c r="J314" s="3" t="n">
        <v>0</v>
      </c>
      <c r="K314" s="3" t="n">
        <v>1869</v>
      </c>
      <c r="L314" s="3" t="n">
        <v>8</v>
      </c>
      <c r="M314" s="5" t="n">
        <v>1.5</v>
      </c>
      <c r="N314" s="3" t="n">
        <v>1</v>
      </c>
      <c r="O314" s="3" t="n">
        <v>9</v>
      </c>
      <c r="P314" s="6">
        <f>LOWER(TRIM(C314))</f>
        <v/>
      </c>
      <c r="Q314" s="6">
        <f>IF(I314="true",1,0)</f>
        <v/>
      </c>
      <c r="R314" s="7">
        <f>IF(K314="","",K314)</f>
        <v/>
      </c>
      <c r="S314" s="6">
        <f>IF(OR(H314="",H314&lt;8,H314&gt;72),"",J314)</f>
        <v/>
      </c>
      <c r="T314" s="6">
        <f>IF(OR(P314="lyrics",P314="instrumental"),1,IF(AND(P314="none",COUNTIFS($B$2:$B$479,B314,$P$2:$P$479,"none")&gt;=3),1,0))</f>
        <v/>
      </c>
    </row>
    <row r="315">
      <c r="A315" s="8" t="n">
        <v>109</v>
      </c>
      <c r="B315" s="9" t="inlineStr">
        <is>
          <t>anne</t>
        </is>
      </c>
      <c r="C315" s="9" t="inlineStr">
        <is>
          <t>instrumental</t>
        </is>
      </c>
      <c r="D315" s="9" t="inlineStr">
        <is>
          <t>2026-10-11T21:28:21.371Z</t>
        </is>
      </c>
      <c r="E315" s="8" t="n">
        <v>2</v>
      </c>
      <c r="F315" s="9" t="inlineStr">
        <is>
          <t>5 6 1 2 3 4 5 1</t>
        </is>
      </c>
      <c r="G315" s="8" t="n">
        <v>27</v>
      </c>
      <c r="H315" s="8" t="n">
        <v>28</v>
      </c>
      <c r="I315" s="8" t="inlineStr">
        <is>
          <t>false</t>
        </is>
      </c>
      <c r="J315" s="8" t="n">
        <v>1</v>
      </c>
      <c r="K315" s="8" t="n">
        <v>2414</v>
      </c>
      <c r="L315" s="8" t="n">
        <v>8</v>
      </c>
      <c r="M315" s="10" t="n">
        <v>1.5</v>
      </c>
      <c r="N315" s="8" t="n">
        <v>1</v>
      </c>
      <c r="O315" s="8" t="n">
        <v>9</v>
      </c>
      <c r="P315" s="6">
        <f>LOWER(TRIM(C315))</f>
        <v/>
      </c>
      <c r="Q315" s="6">
        <f>IF(I315="true",1,0)</f>
        <v/>
      </c>
      <c r="R315" s="7">
        <f>IF(K315="","",K315)</f>
        <v/>
      </c>
      <c r="S315" s="6">
        <f>IF(OR(H315="",H315&lt;8,H315&gt;72),"",J315)</f>
        <v/>
      </c>
      <c r="T315" s="6">
        <f>IF(OR(P315="lyrics",P315="instrumental"),1,IF(AND(P315="none",COUNTIFS($B$2:$B$479,B315,$P$2:$P$479,"none")&gt;=3),1,0))</f>
        <v/>
      </c>
    </row>
    <row r="316">
      <c r="A316" s="3" t="n">
        <v>109</v>
      </c>
      <c r="B316" s="4" t="inlineStr">
        <is>
          <t>anne</t>
        </is>
      </c>
      <c r="C316" s="4" t="inlineStr">
        <is>
          <t>instrumental</t>
        </is>
      </c>
      <c r="D316" s="4" t="inlineStr">
        <is>
          <t>2026-10-11T21:28:21.371Z</t>
        </is>
      </c>
      <c r="E316" s="3" t="n">
        <v>3</v>
      </c>
      <c r="F316" s="4" t="inlineStr">
        <is>
          <t>7 5 9 5 2 3 3 1</t>
        </is>
      </c>
      <c r="G316" s="3" t="n">
        <v>35</v>
      </c>
      <c r="H316" s="3" t="n">
        <v>35</v>
      </c>
      <c r="I316" s="3" t="inlineStr">
        <is>
          <t>true</t>
        </is>
      </c>
      <c r="J316" s="3" t="n">
        <v>0</v>
      </c>
      <c r="K316" s="3" t="n">
        <v>1226</v>
      </c>
      <c r="L316" s="3" t="n">
        <v>8</v>
      </c>
      <c r="M316" s="5" t="n">
        <v>1.5</v>
      </c>
      <c r="N316" s="3" t="n">
        <v>1</v>
      </c>
      <c r="O316" s="3" t="n">
        <v>9</v>
      </c>
      <c r="P316" s="6">
        <f>LOWER(TRIM(C316))</f>
        <v/>
      </c>
      <c r="Q316" s="6">
        <f>IF(I316="true",1,0)</f>
        <v/>
      </c>
      <c r="R316" s="7">
        <f>IF(K316="","",K316)</f>
        <v/>
      </c>
      <c r="S316" s="6">
        <f>IF(OR(H316="",H316&lt;8,H316&gt;72),"",J316)</f>
        <v/>
      </c>
      <c r="T316" s="6">
        <f>IF(OR(P316="lyrics",P316="instrumental"),1,IF(AND(P316="none",COUNTIFS($B$2:$B$479,B316,$P$2:$P$479,"none")&gt;=3),1,0))</f>
        <v/>
      </c>
    </row>
    <row r="317">
      <c r="A317" s="8" t="n">
        <v>110</v>
      </c>
      <c r="B317" s="9" t="inlineStr">
        <is>
          <t>aus</t>
        </is>
      </c>
      <c r="C317" s="9" t="inlineStr">
        <is>
          <t>none</t>
        </is>
      </c>
      <c r="D317" s="9" t="inlineStr">
        <is>
          <t>2026-10-11T21:29:38.046Z</t>
        </is>
      </c>
      <c r="E317" s="8" t="n">
        <v>1</v>
      </c>
      <c r="F317" s="9" t="inlineStr">
        <is>
          <t>2 2 4 5 9 2 4 3</t>
        </is>
      </c>
      <c r="G317" s="8" t="n">
        <v>31</v>
      </c>
      <c r="H317" s="8" t="n">
        <v>31</v>
      </c>
      <c r="I317" s="8" t="inlineStr">
        <is>
          <t>true</t>
        </is>
      </c>
      <c r="J317" s="8" t="n">
        <v>0</v>
      </c>
      <c r="K317" s="8" t="n">
        <v>3302</v>
      </c>
      <c r="L317" s="8" t="n">
        <v>8</v>
      </c>
      <c r="M317" s="10" t="n">
        <v>1.5</v>
      </c>
      <c r="N317" s="8" t="n">
        <v>1</v>
      </c>
      <c r="O317" s="8" t="n">
        <v>9</v>
      </c>
      <c r="P317" s="6">
        <f>LOWER(TRIM(C317))</f>
        <v/>
      </c>
      <c r="Q317" s="6">
        <f>IF(I317="true",1,0)</f>
        <v/>
      </c>
      <c r="R317" s="7">
        <f>IF(K317="","",K317)</f>
        <v/>
      </c>
      <c r="S317" s="6">
        <f>IF(OR(H317="",H317&lt;8,H317&gt;72),"",J317)</f>
        <v/>
      </c>
      <c r="T317" s="6">
        <f>IF(OR(P317="lyrics",P317="instrumental"),1,IF(AND(P317="none",COUNTIFS($B$2:$B$479,B317,$P$2:$P$479,"none")&gt;=3),1,0))</f>
        <v/>
      </c>
    </row>
    <row r="318">
      <c r="A318" s="3" t="n">
        <v>110</v>
      </c>
      <c r="B318" s="4" t="inlineStr">
        <is>
          <t>aus</t>
        </is>
      </c>
      <c r="C318" s="4" t="inlineStr">
        <is>
          <t>none</t>
        </is>
      </c>
      <c r="D318" s="4" t="inlineStr">
        <is>
          <t>2026-10-11T21:29:38.046Z</t>
        </is>
      </c>
      <c r="E318" s="3" t="n">
        <v>2</v>
      </c>
      <c r="F318" s="4" t="inlineStr">
        <is>
          <t>8 4 3 8 4 4 2 9</t>
        </is>
      </c>
      <c r="G318" s="3" t="n">
        <v>42</v>
      </c>
      <c r="H318" s="3" t="n">
        <v>35</v>
      </c>
      <c r="I318" s="3" t="inlineStr">
        <is>
          <t>false</t>
        </is>
      </c>
      <c r="J318" s="3" t="n">
        <v>7</v>
      </c>
      <c r="K318" s="3" t="n">
        <v>4192</v>
      </c>
      <c r="L318" s="3" t="n">
        <v>8</v>
      </c>
      <c r="M318" s="5" t="n">
        <v>1.5</v>
      </c>
      <c r="N318" s="3" t="n">
        <v>1</v>
      </c>
      <c r="O318" s="3" t="n">
        <v>9</v>
      </c>
      <c r="P318" s="6">
        <f>LOWER(TRIM(C318))</f>
        <v/>
      </c>
      <c r="Q318" s="6">
        <f>IF(I318="true",1,0)</f>
        <v/>
      </c>
      <c r="R318" s="7">
        <f>IF(K318="","",K318)</f>
        <v/>
      </c>
      <c r="S318" s="6">
        <f>IF(OR(H318="",H318&lt;8,H318&gt;72),"",J318)</f>
        <v/>
      </c>
      <c r="T318" s="6">
        <f>IF(OR(P318="lyrics",P318="instrumental"),1,IF(AND(P318="none",COUNTIFS($B$2:$B$479,B318,$P$2:$P$479,"none")&gt;=3),1,0))</f>
        <v/>
      </c>
    </row>
    <row r="319">
      <c r="A319" s="8" t="n">
        <v>111</v>
      </c>
      <c r="B319" s="9" t="inlineStr">
        <is>
          <t>aus</t>
        </is>
      </c>
      <c r="C319" s="9" t="inlineStr">
        <is>
          <t>lyrics</t>
        </is>
      </c>
      <c r="D319" s="9" t="inlineStr">
        <is>
          <t>2026-10-11T21:30:40.233Z</t>
        </is>
      </c>
      <c r="E319" s="8" t="n">
        <v>1</v>
      </c>
      <c r="F319" s="9" t="inlineStr">
        <is>
          <t>2 4 7 2 7 8 1 3</t>
        </is>
      </c>
      <c r="G319" s="8" t="n">
        <v>34</v>
      </c>
      <c r="H319" s="8" t="n">
        <v>35</v>
      </c>
      <c r="I319" s="8" t="inlineStr">
        <is>
          <t>false</t>
        </is>
      </c>
      <c r="J319" s="8" t="n">
        <v>1</v>
      </c>
      <c r="K319" s="8" t="n">
        <v>4599</v>
      </c>
      <c r="L319" s="8" t="n">
        <v>8</v>
      </c>
      <c r="M319" s="10" t="n">
        <v>1.5</v>
      </c>
      <c r="N319" s="8" t="n">
        <v>1</v>
      </c>
      <c r="O319" s="8" t="n">
        <v>9</v>
      </c>
      <c r="P319" s="6">
        <f>LOWER(TRIM(C319))</f>
        <v/>
      </c>
      <c r="Q319" s="6">
        <f>IF(I319="true",1,0)</f>
        <v/>
      </c>
      <c r="R319" s="7">
        <f>IF(K319="","",K319)</f>
        <v/>
      </c>
      <c r="S319" s="6">
        <f>IF(OR(H319="",H319&lt;8,H319&gt;72),"",J319)</f>
        <v/>
      </c>
      <c r="T319" s="6">
        <f>IF(OR(P319="lyrics",P319="instrumental"),1,IF(AND(P319="none",COUNTIFS($B$2:$B$479,B319,$P$2:$P$479,"none")&gt;=3),1,0))</f>
        <v/>
      </c>
    </row>
    <row r="320">
      <c r="A320" s="3" t="n">
        <v>111</v>
      </c>
      <c r="B320" s="4" t="inlineStr">
        <is>
          <t>aus</t>
        </is>
      </c>
      <c r="C320" s="4" t="inlineStr">
        <is>
          <t>lyrics</t>
        </is>
      </c>
      <c r="D320" s="4" t="inlineStr">
        <is>
          <t>2026-10-11T21:30:40.233Z</t>
        </is>
      </c>
      <c r="E320" s="3" t="n">
        <v>2</v>
      </c>
      <c r="F320" s="4" t="inlineStr">
        <is>
          <t>6 2 6 6 4 5 1 6</t>
        </is>
      </c>
      <c r="G320" s="3" t="n">
        <v>36</v>
      </c>
      <c r="H320" s="3" t="n">
        <v>36</v>
      </c>
      <c r="I320" s="3" t="inlineStr">
        <is>
          <t>true</t>
        </is>
      </c>
      <c r="J320" s="3" t="n">
        <v>0</v>
      </c>
      <c r="K320" s="3" t="n">
        <v>1003</v>
      </c>
      <c r="L320" s="3" t="n">
        <v>8</v>
      </c>
      <c r="M320" s="5" t="n">
        <v>1.5</v>
      </c>
      <c r="N320" s="3" t="n">
        <v>1</v>
      </c>
      <c r="O320" s="3" t="n">
        <v>9</v>
      </c>
      <c r="P320" s="6">
        <f>LOWER(TRIM(C320))</f>
        <v/>
      </c>
      <c r="Q320" s="6">
        <f>IF(I320="true",1,0)</f>
        <v/>
      </c>
      <c r="R320" s="7">
        <f>IF(K320="","",K320)</f>
        <v/>
      </c>
      <c r="S320" s="6">
        <f>IF(OR(H320="",H320&lt;8,H320&gt;72),"",J320)</f>
        <v/>
      </c>
      <c r="T320" s="6">
        <f>IF(OR(P320="lyrics",P320="instrumental"),1,IF(AND(P320="none",COUNTIFS($B$2:$B$479,B320,$P$2:$P$479,"none")&gt;=3),1,0))</f>
        <v/>
      </c>
    </row>
    <row r="321">
      <c r="A321" s="8" t="n">
        <v>111</v>
      </c>
      <c r="B321" s="9" t="inlineStr">
        <is>
          <t>aus</t>
        </is>
      </c>
      <c r="C321" s="9" t="inlineStr">
        <is>
          <t>lyrics</t>
        </is>
      </c>
      <c r="D321" s="9" t="inlineStr">
        <is>
          <t>2026-10-11T21:30:40.233Z</t>
        </is>
      </c>
      <c r="E321" s="8" t="n">
        <v>3</v>
      </c>
      <c r="F321" s="9" t="inlineStr">
        <is>
          <t>4 7 7 8 1 9 5 2</t>
        </is>
      </c>
      <c r="G321" s="8" t="n">
        <v>43</v>
      </c>
      <c r="H321" s="8" t="n">
        <v>43</v>
      </c>
      <c r="I321" s="8" t="inlineStr">
        <is>
          <t>true</t>
        </is>
      </c>
      <c r="J321" s="8" t="n">
        <v>0</v>
      </c>
      <c r="K321" s="8" t="n">
        <v>2637</v>
      </c>
      <c r="L321" s="8" t="n">
        <v>8</v>
      </c>
      <c r="M321" s="10" t="n">
        <v>1.5</v>
      </c>
      <c r="N321" s="8" t="n">
        <v>1</v>
      </c>
      <c r="O321" s="8" t="n">
        <v>9</v>
      </c>
      <c r="P321" s="6">
        <f>LOWER(TRIM(C321))</f>
        <v/>
      </c>
      <c r="Q321" s="6">
        <f>IF(I321="true",1,0)</f>
        <v/>
      </c>
      <c r="R321" s="7">
        <f>IF(K321="","",K321)</f>
        <v/>
      </c>
      <c r="S321" s="6">
        <f>IF(OR(H321="",H321&lt;8,H321&gt;72),"",J321)</f>
        <v/>
      </c>
      <c r="T321" s="6">
        <f>IF(OR(P321="lyrics",P321="instrumental"),1,IF(AND(P321="none",COUNTIFS($B$2:$B$479,B321,$P$2:$P$479,"none")&gt;=3),1,0))</f>
        <v/>
      </c>
    </row>
    <row r="322">
      <c r="A322" s="3" t="n">
        <v>112</v>
      </c>
      <c r="B322" s="4" t="inlineStr">
        <is>
          <t>aus</t>
        </is>
      </c>
      <c r="C322" s="4" t="inlineStr">
        <is>
          <t>lyrics</t>
        </is>
      </c>
      <c r="D322" s="4" t="inlineStr">
        <is>
          <t>2026-10-11T21:31:32.225Z</t>
        </is>
      </c>
      <c r="E322" s="3" t="n">
        <v>1</v>
      </c>
      <c r="F322" s="4" t="inlineStr">
        <is>
          <t>2 1 8 8 2 6 2 9</t>
        </is>
      </c>
      <c r="G322" s="3" t="n">
        <v>38</v>
      </c>
      <c r="H322" s="3" t="n">
        <v>38</v>
      </c>
      <c r="I322" s="3" t="inlineStr">
        <is>
          <t>true</t>
        </is>
      </c>
      <c r="J322" s="3" t="n">
        <v>0</v>
      </c>
      <c r="K322" s="3" t="n">
        <v>2297</v>
      </c>
      <c r="L322" s="3" t="n">
        <v>8</v>
      </c>
      <c r="M322" s="5" t="n">
        <v>1.5</v>
      </c>
      <c r="N322" s="3" t="n">
        <v>1</v>
      </c>
      <c r="O322" s="3" t="n">
        <v>9</v>
      </c>
      <c r="P322" s="6">
        <f>LOWER(TRIM(C322))</f>
        <v/>
      </c>
      <c r="Q322" s="6">
        <f>IF(I322="true",1,0)</f>
        <v/>
      </c>
      <c r="R322" s="7">
        <f>IF(K322="","",K322)</f>
        <v/>
      </c>
      <c r="S322" s="6">
        <f>IF(OR(H322="",H322&lt;8,H322&gt;72),"",J322)</f>
        <v/>
      </c>
      <c r="T322" s="6">
        <f>IF(OR(P322="lyrics",P322="instrumental"),1,IF(AND(P322="none",COUNTIFS($B$2:$B$479,B322,$P$2:$P$479,"none")&gt;=3),1,0))</f>
        <v/>
      </c>
    </row>
    <row r="323">
      <c r="A323" s="8" t="n">
        <v>112</v>
      </c>
      <c r="B323" s="9" t="inlineStr">
        <is>
          <t>aus</t>
        </is>
      </c>
      <c r="C323" s="9" t="inlineStr">
        <is>
          <t>lyrics</t>
        </is>
      </c>
      <c r="D323" s="9" t="inlineStr">
        <is>
          <t>2026-10-11T21:31:32.225Z</t>
        </is>
      </c>
      <c r="E323" s="8" t="n">
        <v>2</v>
      </c>
      <c r="F323" s="9" t="inlineStr">
        <is>
          <t>2 1 7 1 8 6 1 2</t>
        </is>
      </c>
      <c r="G323" s="8" t="n">
        <v>28</v>
      </c>
      <c r="H323" s="8" t="n">
        <v>28</v>
      </c>
      <c r="I323" s="8" t="inlineStr">
        <is>
          <t>true</t>
        </is>
      </c>
      <c r="J323" s="8" t="n">
        <v>0</v>
      </c>
      <c r="K323" s="8" t="n">
        <v>1379</v>
      </c>
      <c r="L323" s="8" t="n">
        <v>8</v>
      </c>
      <c r="M323" s="10" t="n">
        <v>1.5</v>
      </c>
      <c r="N323" s="8" t="n">
        <v>1</v>
      </c>
      <c r="O323" s="8" t="n">
        <v>9</v>
      </c>
      <c r="P323" s="6">
        <f>LOWER(TRIM(C323))</f>
        <v/>
      </c>
      <c r="Q323" s="6">
        <f>IF(I323="true",1,0)</f>
        <v/>
      </c>
      <c r="R323" s="7">
        <f>IF(K323="","",K323)</f>
        <v/>
      </c>
      <c r="S323" s="6">
        <f>IF(OR(H323="",H323&lt;8,H323&gt;72),"",J323)</f>
        <v/>
      </c>
      <c r="T323" s="6">
        <f>IF(OR(P323="lyrics",P323="instrumental"),1,IF(AND(P323="none",COUNTIFS($B$2:$B$479,B323,$P$2:$P$479,"none")&gt;=3),1,0))</f>
        <v/>
      </c>
    </row>
    <row r="324">
      <c r="A324" s="3" t="n">
        <v>112</v>
      </c>
      <c r="B324" s="4" t="inlineStr">
        <is>
          <t>aus</t>
        </is>
      </c>
      <c r="C324" s="4" t="inlineStr">
        <is>
          <t>lyrics</t>
        </is>
      </c>
      <c r="D324" s="4" t="inlineStr">
        <is>
          <t>2026-10-11T21:31:32.225Z</t>
        </is>
      </c>
      <c r="E324" s="3" t="n">
        <v>3</v>
      </c>
      <c r="F324" s="4" t="inlineStr">
        <is>
          <t>8 1 4 6 5 5 3 5</t>
        </is>
      </c>
      <c r="G324" s="3" t="n">
        <v>37</v>
      </c>
      <c r="H324" s="3" t="n">
        <v>32</v>
      </c>
      <c r="I324" s="3" t="inlineStr">
        <is>
          <t>false</t>
        </is>
      </c>
      <c r="J324" s="3" t="n">
        <v>5</v>
      </c>
      <c r="K324" s="3" t="n">
        <v>1854</v>
      </c>
      <c r="L324" s="3" t="n">
        <v>8</v>
      </c>
      <c r="M324" s="5" t="n">
        <v>1.5</v>
      </c>
      <c r="N324" s="3" t="n">
        <v>1</v>
      </c>
      <c r="O324" s="3" t="n">
        <v>9</v>
      </c>
      <c r="P324" s="6">
        <f>LOWER(TRIM(C324))</f>
        <v/>
      </c>
      <c r="Q324" s="6">
        <f>IF(I324="true",1,0)</f>
        <v/>
      </c>
      <c r="R324" s="7">
        <f>IF(K324="","",K324)</f>
        <v/>
      </c>
      <c r="S324" s="6">
        <f>IF(OR(H324="",H324&lt;8,H324&gt;72),"",J324)</f>
        <v/>
      </c>
      <c r="T324" s="6">
        <f>IF(OR(P324="lyrics",P324="instrumental"),1,IF(AND(P324="none",COUNTIFS($B$2:$B$479,B324,$P$2:$P$479,"none")&gt;=3),1,0))</f>
        <v/>
      </c>
    </row>
    <row r="325">
      <c r="A325" s="8" t="n">
        <v>113</v>
      </c>
      <c r="B325" s="9" t="inlineStr">
        <is>
          <t>aus</t>
        </is>
      </c>
      <c r="C325" s="9" t="inlineStr">
        <is>
          <t>lyrics</t>
        </is>
      </c>
      <c r="D325" s="9" t="inlineStr">
        <is>
          <t>2026-10-11T21:32:31.264Z</t>
        </is>
      </c>
      <c r="E325" s="8" t="n">
        <v>1</v>
      </c>
      <c r="F325" s="9" t="inlineStr">
        <is>
          <t>2 2 6 4 9 5 8 5</t>
        </is>
      </c>
      <c r="G325" s="8" t="n">
        <v>41</v>
      </c>
      <c r="H325" s="8" t="n">
        <v>41</v>
      </c>
      <c r="I325" s="8" t="inlineStr">
        <is>
          <t>true</t>
        </is>
      </c>
      <c r="J325" s="8" t="n">
        <v>0</v>
      </c>
      <c r="K325" s="8" t="n">
        <v>2131</v>
      </c>
      <c r="L325" s="8" t="n">
        <v>8</v>
      </c>
      <c r="M325" s="10" t="n">
        <v>1.5</v>
      </c>
      <c r="N325" s="8" t="n">
        <v>1</v>
      </c>
      <c r="O325" s="8" t="n">
        <v>9</v>
      </c>
      <c r="P325" s="6">
        <f>LOWER(TRIM(C325))</f>
        <v/>
      </c>
      <c r="Q325" s="6">
        <f>IF(I325="true",1,0)</f>
        <v/>
      </c>
      <c r="R325" s="7">
        <f>IF(K325="","",K325)</f>
        <v/>
      </c>
      <c r="S325" s="6">
        <f>IF(OR(H325="",H325&lt;8,H325&gt;72),"",J325)</f>
        <v/>
      </c>
      <c r="T325" s="6">
        <f>IF(OR(P325="lyrics",P325="instrumental"),1,IF(AND(P325="none",COUNTIFS($B$2:$B$479,B325,$P$2:$P$479,"none")&gt;=3),1,0))</f>
        <v/>
      </c>
    </row>
    <row r="326">
      <c r="A326" s="3" t="n">
        <v>113</v>
      </c>
      <c r="B326" s="4" t="inlineStr">
        <is>
          <t>aus</t>
        </is>
      </c>
      <c r="C326" s="4" t="inlineStr">
        <is>
          <t>lyrics</t>
        </is>
      </c>
      <c r="D326" s="4" t="inlineStr">
        <is>
          <t>2026-10-11T21:32:31.264Z</t>
        </is>
      </c>
      <c r="E326" s="3" t="n">
        <v>2</v>
      </c>
      <c r="F326" s="4" t="inlineStr">
        <is>
          <t>7 1 7 1 6 6 5 9</t>
        </is>
      </c>
      <c r="G326" s="3" t="n">
        <v>42</v>
      </c>
      <c r="H326" s="3" t="n">
        <v>42</v>
      </c>
      <c r="I326" s="3" t="inlineStr">
        <is>
          <t>true</t>
        </is>
      </c>
      <c r="J326" s="3" t="n">
        <v>0</v>
      </c>
      <c r="K326" s="3" t="n">
        <v>3418</v>
      </c>
      <c r="L326" s="3" t="n">
        <v>8</v>
      </c>
      <c r="M326" s="5" t="n">
        <v>1.5</v>
      </c>
      <c r="N326" s="3" t="n">
        <v>1</v>
      </c>
      <c r="O326" s="3" t="n">
        <v>9</v>
      </c>
      <c r="P326" s="6">
        <f>LOWER(TRIM(C326))</f>
        <v/>
      </c>
      <c r="Q326" s="6">
        <f>IF(I326="true",1,0)</f>
        <v/>
      </c>
      <c r="R326" s="7">
        <f>IF(K326="","",K326)</f>
        <v/>
      </c>
      <c r="S326" s="6">
        <f>IF(OR(H326="",H326&lt;8,H326&gt;72),"",J326)</f>
        <v/>
      </c>
      <c r="T326" s="6">
        <f>IF(OR(P326="lyrics",P326="instrumental"),1,IF(AND(P326="none",COUNTIFS($B$2:$B$479,B326,$P$2:$P$479,"none")&gt;=3),1,0))</f>
        <v/>
      </c>
    </row>
    <row r="327">
      <c r="A327" s="8" t="n">
        <v>113</v>
      </c>
      <c r="B327" s="9" t="inlineStr">
        <is>
          <t>aus</t>
        </is>
      </c>
      <c r="C327" s="9" t="inlineStr">
        <is>
          <t>lyrics</t>
        </is>
      </c>
      <c r="D327" s="9" t="inlineStr">
        <is>
          <t>2026-10-11T21:32:31.264Z</t>
        </is>
      </c>
      <c r="E327" s="8" t="n">
        <v>3</v>
      </c>
      <c r="F327" s="9" t="inlineStr">
        <is>
          <t>3 2 8 4 8 8 8 9</t>
        </is>
      </c>
      <c r="G327" s="8" t="n">
        <v>50</v>
      </c>
      <c r="H327" s="8" t="n">
        <v>50</v>
      </c>
      <c r="I327" s="8" t="inlineStr">
        <is>
          <t>true</t>
        </is>
      </c>
      <c r="J327" s="8" t="n">
        <v>0</v>
      </c>
      <c r="K327" s="8" t="n">
        <v>1356</v>
      </c>
      <c r="L327" s="8" t="n">
        <v>8</v>
      </c>
      <c r="M327" s="10" t="n">
        <v>1.5</v>
      </c>
      <c r="N327" s="8" t="n">
        <v>1</v>
      </c>
      <c r="O327" s="8" t="n">
        <v>9</v>
      </c>
      <c r="P327" s="6">
        <f>LOWER(TRIM(C327))</f>
        <v/>
      </c>
      <c r="Q327" s="6">
        <f>IF(I327="true",1,0)</f>
        <v/>
      </c>
      <c r="R327" s="7">
        <f>IF(K327="","",K327)</f>
        <v/>
      </c>
      <c r="S327" s="6">
        <f>IF(OR(H327="",H327&lt;8,H327&gt;72),"",J327)</f>
        <v/>
      </c>
      <c r="T327" s="6">
        <f>IF(OR(P327="lyrics",P327="instrumental"),1,IF(AND(P327="none",COUNTIFS($B$2:$B$479,B327,$P$2:$P$479,"none")&gt;=3),1,0))</f>
        <v/>
      </c>
    </row>
    <row r="328">
      <c r="A328" s="3" t="n">
        <v>114</v>
      </c>
      <c r="B328" s="4" t="inlineStr">
        <is>
          <t>aus</t>
        </is>
      </c>
      <c r="C328" s="4" t="inlineStr">
        <is>
          <t>instrumental</t>
        </is>
      </c>
      <c r="D328" s="4" t="inlineStr">
        <is>
          <t>2026-10-12T05:46:52.509Z</t>
        </is>
      </c>
      <c r="E328" s="3" t="n">
        <v>1</v>
      </c>
      <c r="F328" s="4" t="inlineStr">
        <is>
          <t>3 3 3 5 4 2 8 1</t>
        </is>
      </c>
      <c r="G328" s="3" t="n">
        <v>29</v>
      </c>
      <c r="H328" s="3" t="n">
        <v>29</v>
      </c>
      <c r="I328" s="3" t="inlineStr">
        <is>
          <t>true</t>
        </is>
      </c>
      <c r="J328" s="3" t="n">
        <v>0</v>
      </c>
      <c r="K328" s="3" t="n">
        <v>1444</v>
      </c>
      <c r="L328" s="3" t="n">
        <v>8</v>
      </c>
      <c r="M328" s="5" t="n">
        <v>1.5</v>
      </c>
      <c r="N328" s="3" t="n">
        <v>1</v>
      </c>
      <c r="O328" s="3" t="n">
        <v>9</v>
      </c>
      <c r="P328" s="6">
        <f>LOWER(TRIM(C328))</f>
        <v/>
      </c>
      <c r="Q328" s="6">
        <f>IF(I328="true",1,0)</f>
        <v/>
      </c>
      <c r="R328" s="7">
        <f>IF(K328="","",K328)</f>
        <v/>
      </c>
      <c r="S328" s="6">
        <f>IF(OR(H328="",H328&lt;8,H328&gt;72),"",J328)</f>
        <v/>
      </c>
      <c r="T328" s="6">
        <f>IF(OR(P328="lyrics",P328="instrumental"),1,IF(AND(P328="none",COUNTIFS($B$2:$B$479,B328,$P$2:$P$479,"none")&gt;=3),1,0))</f>
        <v/>
      </c>
    </row>
    <row r="329">
      <c r="A329" s="8" t="n">
        <v>114</v>
      </c>
      <c r="B329" s="9" t="inlineStr">
        <is>
          <t>aus</t>
        </is>
      </c>
      <c r="C329" s="9" t="inlineStr">
        <is>
          <t>instrumental</t>
        </is>
      </c>
      <c r="D329" s="9" t="inlineStr">
        <is>
          <t>2026-10-12T05:46:52.509Z</t>
        </is>
      </c>
      <c r="E329" s="8" t="n">
        <v>2</v>
      </c>
      <c r="F329" s="9" t="inlineStr">
        <is>
          <t>2 7 1 3 9 1 7 3</t>
        </is>
      </c>
      <c r="G329" s="8" t="n">
        <v>33</v>
      </c>
      <c r="H329" s="8" t="n">
        <v>33</v>
      </c>
      <c r="I329" s="8" t="inlineStr">
        <is>
          <t>true</t>
        </is>
      </c>
      <c r="J329" s="8" t="n">
        <v>0</v>
      </c>
      <c r="K329" s="8" t="n">
        <v>1268</v>
      </c>
      <c r="L329" s="8" t="n">
        <v>8</v>
      </c>
      <c r="M329" s="10" t="n">
        <v>1.5</v>
      </c>
      <c r="N329" s="8" t="n">
        <v>1</v>
      </c>
      <c r="O329" s="8" t="n">
        <v>9</v>
      </c>
      <c r="P329" s="6">
        <f>LOWER(TRIM(C329))</f>
        <v/>
      </c>
      <c r="Q329" s="6">
        <f>IF(I329="true",1,0)</f>
        <v/>
      </c>
      <c r="R329" s="7">
        <f>IF(K329="","",K329)</f>
        <v/>
      </c>
      <c r="S329" s="6">
        <f>IF(OR(H329="",H329&lt;8,H329&gt;72),"",J329)</f>
        <v/>
      </c>
      <c r="T329" s="6">
        <f>IF(OR(P329="lyrics",P329="instrumental"),1,IF(AND(P329="none",COUNTIFS($B$2:$B$479,B329,$P$2:$P$479,"none")&gt;=3),1,0))</f>
        <v/>
      </c>
    </row>
    <row r="330">
      <c r="A330" s="3" t="n">
        <v>114</v>
      </c>
      <c r="B330" s="4" t="inlineStr">
        <is>
          <t>aus</t>
        </is>
      </c>
      <c r="C330" s="4" t="inlineStr">
        <is>
          <t>instrumental</t>
        </is>
      </c>
      <c r="D330" s="4" t="inlineStr">
        <is>
          <t>2026-10-12T05:46:52.509Z</t>
        </is>
      </c>
      <c r="E330" s="3" t="n">
        <v>3</v>
      </c>
      <c r="F330" s="4" t="inlineStr">
        <is>
          <t>7 1 2 4 1 5 6 6</t>
        </is>
      </c>
      <c r="G330" s="3" t="n">
        <v>32</v>
      </c>
      <c r="H330" s="3" t="n">
        <v>37</v>
      </c>
      <c r="I330" s="3" t="inlineStr">
        <is>
          <t>false</t>
        </is>
      </c>
      <c r="J330" s="3" t="n">
        <v>5</v>
      </c>
      <c r="K330" s="3" t="n">
        <v>3202</v>
      </c>
      <c r="L330" s="3" t="n">
        <v>8</v>
      </c>
      <c r="M330" s="5" t="n">
        <v>1.5</v>
      </c>
      <c r="N330" s="3" t="n">
        <v>1</v>
      </c>
      <c r="O330" s="3" t="n">
        <v>9</v>
      </c>
      <c r="P330" s="6">
        <f>LOWER(TRIM(C330))</f>
        <v/>
      </c>
      <c r="Q330" s="6">
        <f>IF(I330="true",1,0)</f>
        <v/>
      </c>
      <c r="R330" s="7">
        <f>IF(K330="","",K330)</f>
        <v/>
      </c>
      <c r="S330" s="6">
        <f>IF(OR(H330="",H330&lt;8,H330&gt;72),"",J330)</f>
        <v/>
      </c>
      <c r="T330" s="6">
        <f>IF(OR(P330="lyrics",P330="instrumental"),1,IF(AND(P330="none",COUNTIFS($B$2:$B$479,B330,$P$2:$P$479,"none")&gt;=3),1,0))</f>
        <v/>
      </c>
    </row>
    <row r="331">
      <c r="A331" s="8" t="n">
        <v>115</v>
      </c>
      <c r="B331" s="9" t="inlineStr">
        <is>
          <t>aus</t>
        </is>
      </c>
      <c r="C331" s="9" t="inlineStr">
        <is>
          <t>instrumental</t>
        </is>
      </c>
      <c r="D331" s="9" t="inlineStr">
        <is>
          <t>2026-10-12T05:47:59.908Z</t>
        </is>
      </c>
      <c r="E331" s="8" t="n">
        <v>1</v>
      </c>
      <c r="F331" s="9" t="inlineStr">
        <is>
          <t>6 6 2 2 2 5 7 1</t>
        </is>
      </c>
      <c r="G331" s="8" t="n">
        <v>31</v>
      </c>
      <c r="H331" s="8" t="n">
        <v>31</v>
      </c>
      <c r="I331" s="8" t="inlineStr">
        <is>
          <t>true</t>
        </is>
      </c>
      <c r="J331" s="8" t="n">
        <v>0</v>
      </c>
      <c r="K331" s="8" t="n">
        <v>1991</v>
      </c>
      <c r="L331" s="8" t="n">
        <v>8</v>
      </c>
      <c r="M331" s="10" t="n">
        <v>1.5</v>
      </c>
      <c r="N331" s="8" t="n">
        <v>1</v>
      </c>
      <c r="O331" s="8" t="n">
        <v>9</v>
      </c>
      <c r="P331" s="6">
        <f>LOWER(TRIM(C331))</f>
        <v/>
      </c>
      <c r="Q331" s="6">
        <f>IF(I331="true",1,0)</f>
        <v/>
      </c>
      <c r="R331" s="7">
        <f>IF(K331="","",K331)</f>
        <v/>
      </c>
      <c r="S331" s="6">
        <f>IF(OR(H331="",H331&lt;8,H331&gt;72),"",J331)</f>
        <v/>
      </c>
      <c r="T331" s="6">
        <f>IF(OR(P331="lyrics",P331="instrumental"),1,IF(AND(P331="none",COUNTIFS($B$2:$B$479,B331,$P$2:$P$479,"none")&gt;=3),1,0))</f>
        <v/>
      </c>
    </row>
    <row r="332">
      <c r="A332" s="3" t="n">
        <v>115</v>
      </c>
      <c r="B332" s="4" t="inlineStr">
        <is>
          <t>aus</t>
        </is>
      </c>
      <c r="C332" s="4" t="inlineStr">
        <is>
          <t>instrumental</t>
        </is>
      </c>
      <c r="D332" s="4" t="inlineStr">
        <is>
          <t>2026-10-12T05:47:59.908Z</t>
        </is>
      </c>
      <c r="E332" s="3" t="n">
        <v>2</v>
      </c>
      <c r="F332" s="4" t="inlineStr">
        <is>
          <t>8 3 5 9 4 5 4 7</t>
        </is>
      </c>
      <c r="G332" s="3" t="n">
        <v>45</v>
      </c>
      <c r="H332" s="3" t="n">
        <v>45</v>
      </c>
      <c r="I332" s="3" t="inlineStr">
        <is>
          <t>true</t>
        </is>
      </c>
      <c r="J332" s="3" t="n">
        <v>0</v>
      </c>
      <c r="K332" s="3" t="n">
        <v>3781</v>
      </c>
      <c r="L332" s="3" t="n">
        <v>8</v>
      </c>
      <c r="M332" s="5" t="n">
        <v>1.5</v>
      </c>
      <c r="N332" s="3" t="n">
        <v>1</v>
      </c>
      <c r="O332" s="3" t="n">
        <v>9</v>
      </c>
      <c r="P332" s="6">
        <f>LOWER(TRIM(C332))</f>
        <v/>
      </c>
      <c r="Q332" s="6">
        <f>IF(I332="true",1,0)</f>
        <v/>
      </c>
      <c r="R332" s="7">
        <f>IF(K332="","",K332)</f>
        <v/>
      </c>
      <c r="S332" s="6">
        <f>IF(OR(H332="",H332&lt;8,H332&gt;72),"",J332)</f>
        <v/>
      </c>
      <c r="T332" s="6">
        <f>IF(OR(P332="lyrics",P332="instrumental"),1,IF(AND(P332="none",COUNTIFS($B$2:$B$479,B332,$P$2:$P$479,"none")&gt;=3),1,0))</f>
        <v/>
      </c>
    </row>
    <row r="333">
      <c r="A333" s="8" t="n">
        <v>115</v>
      </c>
      <c r="B333" s="9" t="inlineStr">
        <is>
          <t>aus</t>
        </is>
      </c>
      <c r="C333" s="9" t="inlineStr">
        <is>
          <t>instrumental</t>
        </is>
      </c>
      <c r="D333" s="9" t="inlineStr">
        <is>
          <t>2026-10-12T05:47:59.908Z</t>
        </is>
      </c>
      <c r="E333" s="8" t="n">
        <v>3</v>
      </c>
      <c r="F333" s="9" t="inlineStr">
        <is>
          <t>3 7 4 3 1 1 2 8</t>
        </is>
      </c>
      <c r="G333" s="8" t="n">
        <v>29</v>
      </c>
      <c r="H333" s="8" t="n">
        <v>29</v>
      </c>
      <c r="I333" s="8" t="inlineStr">
        <is>
          <t>true</t>
        </is>
      </c>
      <c r="J333" s="8" t="n">
        <v>0</v>
      </c>
      <c r="K333" s="8" t="n">
        <v>2254</v>
      </c>
      <c r="L333" s="8" t="n">
        <v>8</v>
      </c>
      <c r="M333" s="10" t="n">
        <v>1.5</v>
      </c>
      <c r="N333" s="8" t="n">
        <v>1</v>
      </c>
      <c r="O333" s="8" t="n">
        <v>9</v>
      </c>
      <c r="P333" s="6">
        <f>LOWER(TRIM(C333))</f>
        <v/>
      </c>
      <c r="Q333" s="6">
        <f>IF(I333="true",1,0)</f>
        <v/>
      </c>
      <c r="R333" s="7">
        <f>IF(K333="","",K333)</f>
        <v/>
      </c>
      <c r="S333" s="6">
        <f>IF(OR(H333="",H333&lt;8,H333&gt;72),"",J333)</f>
        <v/>
      </c>
      <c r="T333" s="6">
        <f>IF(OR(P333="lyrics",P333="instrumental"),1,IF(AND(P333="none",COUNTIFS($B$2:$B$479,B333,$P$2:$P$479,"none")&gt;=3),1,0))</f>
        <v/>
      </c>
    </row>
    <row r="334">
      <c r="A334" s="3" t="n">
        <v>116</v>
      </c>
      <c r="B334" s="4" t="inlineStr">
        <is>
          <t>wouter</t>
        </is>
      </c>
      <c r="C334" s="4" t="inlineStr">
        <is>
          <t>none</t>
        </is>
      </c>
      <c r="D334" s="4" t="inlineStr">
        <is>
          <t>2026-10-12T05:48:55.315Z</t>
        </is>
      </c>
      <c r="E334" s="3" t="n">
        <v>1</v>
      </c>
      <c r="F334" s="4" t="inlineStr">
        <is>
          <t>6 3 2 3 7 9 9 6</t>
        </is>
      </c>
      <c r="G334" s="3" t="n">
        <v>45</v>
      </c>
      <c r="H334" s="3" t="n">
        <v>45</v>
      </c>
      <c r="I334" s="3" t="inlineStr">
        <is>
          <t>true</t>
        </is>
      </c>
      <c r="J334" s="3" t="n">
        <v>0</v>
      </c>
      <c r="K334" s="3" t="n">
        <v>1750</v>
      </c>
      <c r="L334" s="3" t="n">
        <v>8</v>
      </c>
      <c r="M334" s="5" t="n">
        <v>1.5</v>
      </c>
      <c r="N334" s="3" t="n">
        <v>1</v>
      </c>
      <c r="O334" s="3" t="n">
        <v>9</v>
      </c>
      <c r="P334" s="6">
        <f>LOWER(TRIM(C334))</f>
        <v/>
      </c>
      <c r="Q334" s="6">
        <f>IF(I334="true",1,0)</f>
        <v/>
      </c>
      <c r="R334" s="7">
        <f>IF(K334="","",K334)</f>
        <v/>
      </c>
      <c r="S334" s="6">
        <f>IF(OR(H334="",H334&lt;8,H334&gt;72),"",J334)</f>
        <v/>
      </c>
      <c r="T334" s="6">
        <f>IF(OR(P334="lyrics",P334="instrumental"),1,IF(AND(P334="none",COUNTIFS($B$2:$B$479,B334,$P$2:$P$479,"none")&gt;=3),1,0))</f>
        <v/>
      </c>
    </row>
    <row r="335">
      <c r="A335" s="8" t="n">
        <v>116</v>
      </c>
      <c r="B335" s="9" t="inlineStr">
        <is>
          <t>wouter</t>
        </is>
      </c>
      <c r="C335" s="9" t="inlineStr">
        <is>
          <t>none</t>
        </is>
      </c>
      <c r="D335" s="9" t="inlineStr">
        <is>
          <t>2026-10-12T05:48:55.315Z</t>
        </is>
      </c>
      <c r="E335" s="8" t="n">
        <v>2</v>
      </c>
      <c r="F335" s="9" t="inlineStr">
        <is>
          <t>2 9 9 7 2 8 5 5</t>
        </is>
      </c>
      <c r="G335" s="8" t="n">
        <v>47</v>
      </c>
      <c r="H335" s="8" t="n">
        <v>47</v>
      </c>
      <c r="I335" s="8" t="inlineStr">
        <is>
          <t>true</t>
        </is>
      </c>
      <c r="J335" s="8" t="n">
        <v>0</v>
      </c>
      <c r="K335" s="8" t="n">
        <v>2526</v>
      </c>
      <c r="L335" s="8" t="n">
        <v>8</v>
      </c>
      <c r="M335" s="10" t="n">
        <v>1.5</v>
      </c>
      <c r="N335" s="8" t="n">
        <v>1</v>
      </c>
      <c r="O335" s="8" t="n">
        <v>9</v>
      </c>
      <c r="P335" s="6">
        <f>LOWER(TRIM(C335))</f>
        <v/>
      </c>
      <c r="Q335" s="6">
        <f>IF(I335="true",1,0)</f>
        <v/>
      </c>
      <c r="R335" s="7">
        <f>IF(K335="","",K335)</f>
        <v/>
      </c>
      <c r="S335" s="6">
        <f>IF(OR(H335="",H335&lt;8,H335&gt;72),"",J335)</f>
        <v/>
      </c>
      <c r="T335" s="6">
        <f>IF(OR(P335="lyrics",P335="instrumental"),1,IF(AND(P335="none",COUNTIFS($B$2:$B$479,B335,$P$2:$P$479,"none")&gt;=3),1,0))</f>
        <v/>
      </c>
    </row>
    <row r="336">
      <c r="A336" s="3" t="n">
        <v>117</v>
      </c>
      <c r="B336" s="4" t="inlineStr">
        <is>
          <t>wouter</t>
        </is>
      </c>
      <c r="C336" s="4" t="inlineStr">
        <is>
          <t>instrumental</t>
        </is>
      </c>
      <c r="D336" s="4" t="inlineStr">
        <is>
          <t>2026-10-12T05:50:10.330Z</t>
        </is>
      </c>
      <c r="E336" s="3" t="n">
        <v>1</v>
      </c>
      <c r="F336" s="4" t="inlineStr">
        <is>
          <t>4 2 4 9 1 7 6 7</t>
        </is>
      </c>
      <c r="G336" s="3" t="n">
        <v>40</v>
      </c>
      <c r="H336" s="3" t="n">
        <v>40</v>
      </c>
      <c r="I336" s="3" t="inlineStr">
        <is>
          <t>true</t>
        </is>
      </c>
      <c r="J336" s="3" t="n">
        <v>0</v>
      </c>
      <c r="K336" s="3" t="n">
        <v>1791</v>
      </c>
      <c r="L336" s="3" t="n">
        <v>8</v>
      </c>
      <c r="M336" s="5" t="n">
        <v>1.5</v>
      </c>
      <c r="N336" s="3" t="n">
        <v>1</v>
      </c>
      <c r="O336" s="3" t="n">
        <v>9</v>
      </c>
      <c r="P336" s="6">
        <f>LOWER(TRIM(C336))</f>
        <v/>
      </c>
      <c r="Q336" s="6">
        <f>IF(I336="true",1,0)</f>
        <v/>
      </c>
      <c r="R336" s="7">
        <f>IF(K336="","",K336)</f>
        <v/>
      </c>
      <c r="S336" s="6">
        <f>IF(OR(H336="",H336&lt;8,H336&gt;72),"",J336)</f>
        <v/>
      </c>
      <c r="T336" s="6">
        <f>IF(OR(P336="lyrics",P336="instrumental"),1,IF(AND(P336="none",COUNTIFS($B$2:$B$479,B336,$P$2:$P$479,"none")&gt;=3),1,0))</f>
        <v/>
      </c>
    </row>
    <row r="337">
      <c r="A337" s="8" t="n">
        <v>117</v>
      </c>
      <c r="B337" s="9" t="inlineStr">
        <is>
          <t>wouter</t>
        </is>
      </c>
      <c r="C337" s="9" t="inlineStr">
        <is>
          <t>instrumental</t>
        </is>
      </c>
      <c r="D337" s="9" t="inlineStr">
        <is>
          <t>2026-10-12T05:50:10.330Z</t>
        </is>
      </c>
      <c r="E337" s="8" t="n">
        <v>2</v>
      </c>
      <c r="F337" s="9" t="inlineStr">
        <is>
          <t>1 7 4 5 1 6 4 4</t>
        </is>
      </c>
      <c r="G337" s="8" t="n">
        <v>32</v>
      </c>
      <c r="H337" s="8" t="n">
        <v>32</v>
      </c>
      <c r="I337" s="8" t="inlineStr">
        <is>
          <t>true</t>
        </is>
      </c>
      <c r="J337" s="8" t="n">
        <v>0</v>
      </c>
      <c r="K337" s="8" t="n">
        <v>2438</v>
      </c>
      <c r="L337" s="8" t="n">
        <v>8</v>
      </c>
      <c r="M337" s="10" t="n">
        <v>1.5</v>
      </c>
      <c r="N337" s="8" t="n">
        <v>1</v>
      </c>
      <c r="O337" s="8" t="n">
        <v>9</v>
      </c>
      <c r="P337" s="6">
        <f>LOWER(TRIM(C337))</f>
        <v/>
      </c>
      <c r="Q337" s="6">
        <f>IF(I337="true",1,0)</f>
        <v/>
      </c>
      <c r="R337" s="7">
        <f>IF(K337="","",K337)</f>
        <v/>
      </c>
      <c r="S337" s="6">
        <f>IF(OR(H337="",H337&lt;8,H337&gt;72),"",J337)</f>
        <v/>
      </c>
      <c r="T337" s="6">
        <f>IF(OR(P337="lyrics",P337="instrumental"),1,IF(AND(P337="none",COUNTIFS($B$2:$B$479,B337,$P$2:$P$479,"none")&gt;=3),1,0))</f>
        <v/>
      </c>
    </row>
    <row r="338">
      <c r="A338" s="3" t="n">
        <v>117</v>
      </c>
      <c r="B338" s="4" t="inlineStr">
        <is>
          <t>wouter</t>
        </is>
      </c>
      <c r="C338" s="4" t="inlineStr">
        <is>
          <t>instrumental</t>
        </is>
      </c>
      <c r="D338" s="4" t="inlineStr">
        <is>
          <t>2026-10-12T05:50:10.330Z</t>
        </is>
      </c>
      <c r="E338" s="3" t="n">
        <v>3</v>
      </c>
      <c r="F338" s="4" t="inlineStr">
        <is>
          <t>2 5 7 2 4 9 7 8</t>
        </is>
      </c>
      <c r="G338" s="3" t="n">
        <v>44</v>
      </c>
      <c r="H338" s="3" t="n">
        <v>49</v>
      </c>
      <c r="I338" s="3" t="inlineStr">
        <is>
          <t>false</t>
        </is>
      </c>
      <c r="J338" s="3" t="n">
        <v>5</v>
      </c>
      <c r="K338" s="3" t="n">
        <v>2485</v>
      </c>
      <c r="L338" s="3" t="n">
        <v>8</v>
      </c>
      <c r="M338" s="5" t="n">
        <v>1.5</v>
      </c>
      <c r="N338" s="3" t="n">
        <v>1</v>
      </c>
      <c r="O338" s="3" t="n">
        <v>9</v>
      </c>
      <c r="P338" s="6">
        <f>LOWER(TRIM(C338))</f>
        <v/>
      </c>
      <c r="Q338" s="6">
        <f>IF(I338="true",1,0)</f>
        <v/>
      </c>
      <c r="R338" s="7">
        <f>IF(K338="","",K338)</f>
        <v/>
      </c>
      <c r="S338" s="6">
        <f>IF(OR(H338="",H338&lt;8,H338&gt;72),"",J338)</f>
        <v/>
      </c>
      <c r="T338" s="6">
        <f>IF(OR(P338="lyrics",P338="instrumental"),1,IF(AND(P338="none",COUNTIFS($B$2:$B$479,B338,$P$2:$P$479,"none")&gt;=3),1,0))</f>
        <v/>
      </c>
    </row>
    <row r="339">
      <c r="A339" s="8" t="n">
        <v>118</v>
      </c>
      <c r="B339" s="9" t="inlineStr">
        <is>
          <t>wouter</t>
        </is>
      </c>
      <c r="C339" s="9" t="inlineStr">
        <is>
          <t>instrumental</t>
        </is>
      </c>
      <c r="D339" s="9" t="inlineStr">
        <is>
          <t>2026-10-12T05:51:10.858Z</t>
        </is>
      </c>
      <c r="E339" s="8" t="n">
        <v>1</v>
      </c>
      <c r="F339" s="9" t="inlineStr">
        <is>
          <t>7 3 7 6 5 3 5 1</t>
        </is>
      </c>
      <c r="G339" s="8" t="n">
        <v>37</v>
      </c>
      <c r="H339" s="8" t="n">
        <v>37</v>
      </c>
      <c r="I339" s="8" t="inlineStr">
        <is>
          <t>true</t>
        </is>
      </c>
      <c r="J339" s="8" t="n">
        <v>0</v>
      </c>
      <c r="K339" s="8" t="n">
        <v>6048</v>
      </c>
      <c r="L339" s="8" t="n">
        <v>8</v>
      </c>
      <c r="M339" s="10" t="n">
        <v>1.5</v>
      </c>
      <c r="N339" s="8" t="n">
        <v>1</v>
      </c>
      <c r="O339" s="8" t="n">
        <v>9</v>
      </c>
      <c r="P339" s="6">
        <f>LOWER(TRIM(C339))</f>
        <v/>
      </c>
      <c r="Q339" s="6">
        <f>IF(I339="true",1,0)</f>
        <v/>
      </c>
      <c r="R339" s="7">
        <f>IF(K339="","",K339)</f>
        <v/>
      </c>
      <c r="S339" s="6">
        <f>IF(OR(H339="",H339&lt;8,H339&gt;72),"",J339)</f>
        <v/>
      </c>
      <c r="T339" s="6">
        <f>IF(OR(P339="lyrics",P339="instrumental"),1,IF(AND(P339="none",COUNTIFS($B$2:$B$479,B339,$P$2:$P$479,"none")&gt;=3),1,0))</f>
        <v/>
      </c>
    </row>
    <row r="340">
      <c r="A340" s="3" t="n">
        <v>118</v>
      </c>
      <c r="B340" s="4" t="inlineStr">
        <is>
          <t>wouter</t>
        </is>
      </c>
      <c r="C340" s="4" t="inlineStr">
        <is>
          <t>instrumental</t>
        </is>
      </c>
      <c r="D340" s="4" t="inlineStr">
        <is>
          <t>2026-10-12T05:51:10.858Z</t>
        </is>
      </c>
      <c r="E340" s="3" t="n">
        <v>2</v>
      </c>
      <c r="F340" s="4" t="inlineStr">
        <is>
          <t>2 4 2 2 5 4 8 5</t>
        </is>
      </c>
      <c r="G340" s="3" t="n">
        <v>32</v>
      </c>
      <c r="H340" s="3" t="n">
        <v>32</v>
      </c>
      <c r="I340" s="3" t="inlineStr">
        <is>
          <t>true</t>
        </is>
      </c>
      <c r="J340" s="3" t="n">
        <v>0</v>
      </c>
      <c r="K340" s="3" t="n">
        <v>2142</v>
      </c>
      <c r="L340" s="3" t="n">
        <v>8</v>
      </c>
      <c r="M340" s="5" t="n">
        <v>1.5</v>
      </c>
      <c r="N340" s="3" t="n">
        <v>1</v>
      </c>
      <c r="O340" s="3" t="n">
        <v>9</v>
      </c>
      <c r="P340" s="6">
        <f>LOWER(TRIM(C340))</f>
        <v/>
      </c>
      <c r="Q340" s="6">
        <f>IF(I340="true",1,0)</f>
        <v/>
      </c>
      <c r="R340" s="7">
        <f>IF(K340="","",K340)</f>
        <v/>
      </c>
      <c r="S340" s="6">
        <f>IF(OR(H340="",H340&lt;8,H340&gt;72),"",J340)</f>
        <v/>
      </c>
      <c r="T340" s="6">
        <f>IF(OR(P340="lyrics",P340="instrumental"),1,IF(AND(P340="none",COUNTIFS($B$2:$B$479,B340,$P$2:$P$479,"none")&gt;=3),1,0))</f>
        <v/>
      </c>
    </row>
    <row r="341">
      <c r="A341" s="8" t="n">
        <v>118</v>
      </c>
      <c r="B341" s="9" t="inlineStr">
        <is>
          <t>wouter</t>
        </is>
      </c>
      <c r="C341" s="9" t="inlineStr">
        <is>
          <t>instrumental</t>
        </is>
      </c>
      <c r="D341" s="9" t="inlineStr">
        <is>
          <t>2026-10-12T05:51:10.858Z</t>
        </is>
      </c>
      <c r="E341" s="8" t="n">
        <v>3</v>
      </c>
      <c r="F341" s="9" t="inlineStr">
        <is>
          <t>1 8 6 6 5 1 2 4</t>
        </is>
      </c>
      <c r="G341" s="8" t="n">
        <v>33</v>
      </c>
      <c r="H341" s="8" t="n">
        <v>33</v>
      </c>
      <c r="I341" s="8" t="inlineStr">
        <is>
          <t>true</t>
        </is>
      </c>
      <c r="J341" s="8" t="n">
        <v>0</v>
      </c>
      <c r="K341" s="8" t="n">
        <v>2515</v>
      </c>
      <c r="L341" s="8" t="n">
        <v>8</v>
      </c>
      <c r="M341" s="10" t="n">
        <v>1.5</v>
      </c>
      <c r="N341" s="8" t="n">
        <v>1</v>
      </c>
      <c r="O341" s="8" t="n">
        <v>9</v>
      </c>
      <c r="P341" s="6">
        <f>LOWER(TRIM(C341))</f>
        <v/>
      </c>
      <c r="Q341" s="6">
        <f>IF(I341="true",1,0)</f>
        <v/>
      </c>
      <c r="R341" s="7">
        <f>IF(K341="","",K341)</f>
        <v/>
      </c>
      <c r="S341" s="6">
        <f>IF(OR(H341="",H341&lt;8,H341&gt;72),"",J341)</f>
        <v/>
      </c>
      <c r="T341" s="6">
        <f>IF(OR(P341="lyrics",P341="instrumental"),1,IF(AND(P341="none",COUNTIFS($B$2:$B$479,B341,$P$2:$P$479,"none")&gt;=3),1,0))</f>
        <v/>
      </c>
    </row>
    <row r="342">
      <c r="A342" s="3" t="n">
        <v>119</v>
      </c>
      <c r="B342" s="4" t="inlineStr">
        <is>
          <t>wouter</t>
        </is>
      </c>
      <c r="C342" s="4" t="inlineStr">
        <is>
          <t>instrumental</t>
        </is>
      </c>
      <c r="D342" s="4" t="inlineStr">
        <is>
          <t>2026-10-12T05:52:05.219Z</t>
        </is>
      </c>
      <c r="E342" s="3" t="n">
        <v>1</v>
      </c>
      <c r="F342" s="4" t="inlineStr">
        <is>
          <t>4 9 4 4 7 4 4 4</t>
        </is>
      </c>
      <c r="G342" s="3" t="n">
        <v>40</v>
      </c>
      <c r="H342" s="3" t="n">
        <v>40</v>
      </c>
      <c r="I342" s="3" t="inlineStr">
        <is>
          <t>true</t>
        </is>
      </c>
      <c r="J342" s="3" t="n">
        <v>0</v>
      </c>
      <c r="K342" s="3" t="n">
        <v>1568</v>
      </c>
      <c r="L342" s="3" t="n">
        <v>8</v>
      </c>
      <c r="M342" s="5" t="n">
        <v>1.5</v>
      </c>
      <c r="N342" s="3" t="n">
        <v>1</v>
      </c>
      <c r="O342" s="3" t="n">
        <v>9</v>
      </c>
      <c r="P342" s="6">
        <f>LOWER(TRIM(C342))</f>
        <v/>
      </c>
      <c r="Q342" s="6">
        <f>IF(I342="true",1,0)</f>
        <v/>
      </c>
      <c r="R342" s="7">
        <f>IF(K342="","",K342)</f>
        <v/>
      </c>
      <c r="S342" s="6">
        <f>IF(OR(H342="",H342&lt;8,H342&gt;72),"",J342)</f>
        <v/>
      </c>
      <c r="T342" s="6">
        <f>IF(OR(P342="lyrics",P342="instrumental"),1,IF(AND(P342="none",COUNTIFS($B$2:$B$479,B342,$P$2:$P$479,"none")&gt;=3),1,0))</f>
        <v/>
      </c>
    </row>
    <row r="343">
      <c r="A343" s="8" t="n">
        <v>119</v>
      </c>
      <c r="B343" s="9" t="inlineStr">
        <is>
          <t>wouter</t>
        </is>
      </c>
      <c r="C343" s="9" t="inlineStr">
        <is>
          <t>instrumental</t>
        </is>
      </c>
      <c r="D343" s="9" t="inlineStr">
        <is>
          <t>2026-10-12T05:52:05.219Z</t>
        </is>
      </c>
      <c r="E343" s="8" t="n">
        <v>2</v>
      </c>
      <c r="F343" s="9" t="inlineStr">
        <is>
          <t>9 3 9 6 5 2 8 6</t>
        </is>
      </c>
      <c r="G343" s="8" t="n">
        <v>48</v>
      </c>
      <c r="H343" s="8" t="n">
        <v>48</v>
      </c>
      <c r="I343" s="8" t="inlineStr">
        <is>
          <t>true</t>
        </is>
      </c>
      <c r="J343" s="8" t="n">
        <v>0</v>
      </c>
      <c r="K343" s="8" t="n">
        <v>3577</v>
      </c>
      <c r="L343" s="8" t="n">
        <v>8</v>
      </c>
      <c r="M343" s="10" t="n">
        <v>1.5</v>
      </c>
      <c r="N343" s="8" t="n">
        <v>1</v>
      </c>
      <c r="O343" s="8" t="n">
        <v>9</v>
      </c>
      <c r="P343" s="6">
        <f>LOWER(TRIM(C343))</f>
        <v/>
      </c>
      <c r="Q343" s="6">
        <f>IF(I343="true",1,0)</f>
        <v/>
      </c>
      <c r="R343" s="7">
        <f>IF(K343="","",K343)</f>
        <v/>
      </c>
      <c r="S343" s="6">
        <f>IF(OR(H343="",H343&lt;8,H343&gt;72),"",J343)</f>
        <v/>
      </c>
      <c r="T343" s="6">
        <f>IF(OR(P343="lyrics",P343="instrumental"),1,IF(AND(P343="none",COUNTIFS($B$2:$B$479,B343,$P$2:$P$479,"none")&gt;=3),1,0))</f>
        <v/>
      </c>
    </row>
    <row r="344">
      <c r="A344" s="3" t="n">
        <v>119</v>
      </c>
      <c r="B344" s="4" t="inlineStr">
        <is>
          <t>wouter</t>
        </is>
      </c>
      <c r="C344" s="4" t="inlineStr">
        <is>
          <t>instrumental</t>
        </is>
      </c>
      <c r="D344" s="4" t="inlineStr">
        <is>
          <t>2026-10-12T05:52:05.219Z</t>
        </is>
      </c>
      <c r="E344" s="3" t="n">
        <v>3</v>
      </c>
      <c r="F344" s="4" t="inlineStr">
        <is>
          <t>7 8 8 5 7 2 1 1</t>
        </is>
      </c>
      <c r="G344" s="3" t="n">
        <v>39</v>
      </c>
      <c r="H344" s="3" t="n">
        <v>39</v>
      </c>
      <c r="I344" s="3" t="inlineStr">
        <is>
          <t>true</t>
        </is>
      </c>
      <c r="J344" s="3" t="n">
        <v>0</v>
      </c>
      <c r="K344" s="3" t="n">
        <v>1882</v>
      </c>
      <c r="L344" s="3" t="n">
        <v>8</v>
      </c>
      <c r="M344" s="5" t="n">
        <v>1.5</v>
      </c>
      <c r="N344" s="3" t="n">
        <v>1</v>
      </c>
      <c r="O344" s="3" t="n">
        <v>9</v>
      </c>
      <c r="P344" s="6">
        <f>LOWER(TRIM(C344))</f>
        <v/>
      </c>
      <c r="Q344" s="6">
        <f>IF(I344="true",1,0)</f>
        <v/>
      </c>
      <c r="R344" s="7">
        <f>IF(K344="","",K344)</f>
        <v/>
      </c>
      <c r="S344" s="6">
        <f>IF(OR(H344="",H344&lt;8,H344&gt;72),"",J344)</f>
        <v/>
      </c>
      <c r="T344" s="6">
        <f>IF(OR(P344="lyrics",P344="instrumental"),1,IF(AND(P344="none",COUNTIFS($B$2:$B$479,B344,$P$2:$P$479,"none")&gt;=3),1,0))</f>
        <v/>
      </c>
    </row>
    <row r="345">
      <c r="A345" s="8" t="n">
        <v>120</v>
      </c>
      <c r="B345" s="9" t="inlineStr">
        <is>
          <t>wouter</t>
        </is>
      </c>
      <c r="C345" s="9" t="inlineStr">
        <is>
          <t>lyrics</t>
        </is>
      </c>
      <c r="D345" s="9" t="inlineStr">
        <is>
          <t>2026-10-12T05:53:05.762Z</t>
        </is>
      </c>
      <c r="E345" s="8" t="n">
        <v>1</v>
      </c>
      <c r="F345" s="9" t="inlineStr">
        <is>
          <t>7 2 3 9 9 9 8 3</t>
        </is>
      </c>
      <c r="G345" s="8" t="n">
        <v>50</v>
      </c>
      <c r="H345" s="8" t="n">
        <v>48</v>
      </c>
      <c r="I345" s="8" t="inlineStr">
        <is>
          <t>false</t>
        </is>
      </c>
      <c r="J345" s="8" t="n">
        <v>2</v>
      </c>
      <c r="K345" s="8" t="n">
        <v>2419</v>
      </c>
      <c r="L345" s="8" t="n">
        <v>8</v>
      </c>
      <c r="M345" s="10" t="n">
        <v>1.5</v>
      </c>
      <c r="N345" s="8" t="n">
        <v>1</v>
      </c>
      <c r="O345" s="8" t="n">
        <v>9</v>
      </c>
      <c r="P345" s="6">
        <f>LOWER(TRIM(C345))</f>
        <v/>
      </c>
      <c r="Q345" s="6">
        <f>IF(I345="true",1,0)</f>
        <v/>
      </c>
      <c r="R345" s="7">
        <f>IF(K345="","",K345)</f>
        <v/>
      </c>
      <c r="S345" s="6">
        <f>IF(OR(H345="",H345&lt;8,H345&gt;72),"",J345)</f>
        <v/>
      </c>
      <c r="T345" s="6">
        <f>IF(OR(P345="lyrics",P345="instrumental"),1,IF(AND(P345="none",COUNTIFS($B$2:$B$479,B345,$P$2:$P$479,"none")&gt;=3),1,0))</f>
        <v/>
      </c>
    </row>
    <row r="346">
      <c r="A346" s="3" t="n">
        <v>120</v>
      </c>
      <c r="B346" s="4" t="inlineStr">
        <is>
          <t>wouter</t>
        </is>
      </c>
      <c r="C346" s="4" t="inlineStr">
        <is>
          <t>lyrics</t>
        </is>
      </c>
      <c r="D346" s="4" t="inlineStr">
        <is>
          <t>2026-10-12T05:53:05.762Z</t>
        </is>
      </c>
      <c r="E346" s="3" t="n">
        <v>2</v>
      </c>
      <c r="F346" s="4" t="inlineStr">
        <is>
          <t>5 5 6 7 9 4 1 2</t>
        </is>
      </c>
      <c r="G346" s="3" t="n">
        <v>39</v>
      </c>
      <c r="H346" s="3" t="n">
        <v>39</v>
      </c>
      <c r="I346" s="3" t="inlineStr">
        <is>
          <t>true</t>
        </is>
      </c>
      <c r="J346" s="3" t="n">
        <v>0</v>
      </c>
      <c r="K346" s="3" t="n">
        <v>2356</v>
      </c>
      <c r="L346" s="3" t="n">
        <v>8</v>
      </c>
      <c r="M346" s="5" t="n">
        <v>1.5</v>
      </c>
      <c r="N346" s="3" t="n">
        <v>1</v>
      </c>
      <c r="O346" s="3" t="n">
        <v>9</v>
      </c>
      <c r="P346" s="6">
        <f>LOWER(TRIM(C346))</f>
        <v/>
      </c>
      <c r="Q346" s="6">
        <f>IF(I346="true",1,0)</f>
        <v/>
      </c>
      <c r="R346" s="7">
        <f>IF(K346="","",K346)</f>
        <v/>
      </c>
      <c r="S346" s="6">
        <f>IF(OR(H346="",H346&lt;8,H346&gt;72),"",J346)</f>
        <v/>
      </c>
      <c r="T346" s="6">
        <f>IF(OR(P346="lyrics",P346="instrumental"),1,IF(AND(P346="none",COUNTIFS($B$2:$B$479,B346,$P$2:$P$479,"none")&gt;=3),1,0))</f>
        <v/>
      </c>
    </row>
    <row r="347">
      <c r="A347" s="8" t="n">
        <v>120</v>
      </c>
      <c r="B347" s="9" t="inlineStr">
        <is>
          <t>wouter</t>
        </is>
      </c>
      <c r="C347" s="9" t="inlineStr">
        <is>
          <t>lyrics</t>
        </is>
      </c>
      <c r="D347" s="9" t="inlineStr">
        <is>
          <t>2026-10-12T05:53:05.762Z</t>
        </is>
      </c>
      <c r="E347" s="8" t="n">
        <v>3</v>
      </c>
      <c r="F347" s="9" t="inlineStr">
        <is>
          <t>3 8 3 5 5 6 3 9</t>
        </is>
      </c>
      <c r="G347" s="8" t="n">
        <v>42</v>
      </c>
      <c r="H347" s="8" t="n">
        <v>43</v>
      </c>
      <c r="I347" s="8" t="inlineStr">
        <is>
          <t>false</t>
        </is>
      </c>
      <c r="J347" s="8" t="n">
        <v>1</v>
      </c>
      <c r="K347" s="8" t="n">
        <v>3889</v>
      </c>
      <c r="L347" s="8" t="n">
        <v>8</v>
      </c>
      <c r="M347" s="10" t="n">
        <v>1.5</v>
      </c>
      <c r="N347" s="8" t="n">
        <v>1</v>
      </c>
      <c r="O347" s="8" t="n">
        <v>9</v>
      </c>
      <c r="P347" s="6">
        <f>LOWER(TRIM(C347))</f>
        <v/>
      </c>
      <c r="Q347" s="6">
        <f>IF(I347="true",1,0)</f>
        <v/>
      </c>
      <c r="R347" s="7">
        <f>IF(K347="","",K347)</f>
        <v/>
      </c>
      <c r="S347" s="6">
        <f>IF(OR(H347="",H347&lt;8,H347&gt;72),"",J347)</f>
        <v/>
      </c>
      <c r="T347" s="6">
        <f>IF(OR(P347="lyrics",P347="instrumental"),1,IF(AND(P347="none",COUNTIFS($B$2:$B$479,B347,$P$2:$P$479,"none")&gt;=3),1,0))</f>
        <v/>
      </c>
    </row>
    <row r="348">
      <c r="A348" s="3" t="n">
        <v>121</v>
      </c>
      <c r="B348" s="4" t="inlineStr">
        <is>
          <t>wouter</t>
        </is>
      </c>
      <c r="C348" s="4" t="inlineStr">
        <is>
          <t>lyrics</t>
        </is>
      </c>
      <c r="D348" s="4" t="inlineStr">
        <is>
          <t>2026-10-12T05:54:05.003Z</t>
        </is>
      </c>
      <c r="E348" s="3" t="n">
        <v>1</v>
      </c>
      <c r="F348" s="4" t="inlineStr">
        <is>
          <t>1 6 5 6 1 5 7 4</t>
        </is>
      </c>
      <c r="G348" s="3" t="n">
        <v>35</v>
      </c>
      <c r="H348" s="3" t="n">
        <v>35</v>
      </c>
      <c r="I348" s="3" t="inlineStr">
        <is>
          <t>true</t>
        </is>
      </c>
      <c r="J348" s="3" t="n">
        <v>0</v>
      </c>
      <c r="K348" s="3" t="n">
        <v>2335</v>
      </c>
      <c r="L348" s="3" t="n">
        <v>8</v>
      </c>
      <c r="M348" s="5" t="n">
        <v>1.5</v>
      </c>
      <c r="N348" s="3" t="n">
        <v>1</v>
      </c>
      <c r="O348" s="3" t="n">
        <v>9</v>
      </c>
      <c r="P348" s="6">
        <f>LOWER(TRIM(C348))</f>
        <v/>
      </c>
      <c r="Q348" s="6">
        <f>IF(I348="true",1,0)</f>
        <v/>
      </c>
      <c r="R348" s="7">
        <f>IF(K348="","",K348)</f>
        <v/>
      </c>
      <c r="S348" s="6">
        <f>IF(OR(H348="",H348&lt;8,H348&gt;72),"",J348)</f>
        <v/>
      </c>
      <c r="T348" s="6">
        <f>IF(OR(P348="lyrics",P348="instrumental"),1,IF(AND(P348="none",COUNTIFS($B$2:$B$479,B348,$P$2:$P$479,"none")&gt;=3),1,0))</f>
        <v/>
      </c>
    </row>
    <row r="349">
      <c r="A349" s="8" t="n">
        <v>121</v>
      </c>
      <c r="B349" s="9" t="inlineStr">
        <is>
          <t>wouter</t>
        </is>
      </c>
      <c r="C349" s="9" t="inlineStr">
        <is>
          <t>lyrics</t>
        </is>
      </c>
      <c r="D349" s="9" t="inlineStr">
        <is>
          <t>2026-10-12T05:54:05.003Z</t>
        </is>
      </c>
      <c r="E349" s="8" t="n">
        <v>2</v>
      </c>
      <c r="F349" s="9" t="inlineStr">
        <is>
          <t>4 1 9 4 9 5 4 2</t>
        </is>
      </c>
      <c r="G349" s="8" t="n">
        <v>38</v>
      </c>
      <c r="H349" s="8" t="n">
        <v>38</v>
      </c>
      <c r="I349" s="8" t="inlineStr">
        <is>
          <t>true</t>
        </is>
      </c>
      <c r="J349" s="8" t="n">
        <v>0</v>
      </c>
      <c r="K349" s="8" t="n">
        <v>2189</v>
      </c>
      <c r="L349" s="8" t="n">
        <v>8</v>
      </c>
      <c r="M349" s="10" t="n">
        <v>1.5</v>
      </c>
      <c r="N349" s="8" t="n">
        <v>1</v>
      </c>
      <c r="O349" s="8" t="n">
        <v>9</v>
      </c>
      <c r="P349" s="6">
        <f>LOWER(TRIM(C349))</f>
        <v/>
      </c>
      <c r="Q349" s="6">
        <f>IF(I349="true",1,0)</f>
        <v/>
      </c>
      <c r="R349" s="7">
        <f>IF(K349="","",K349)</f>
        <v/>
      </c>
      <c r="S349" s="6">
        <f>IF(OR(H349="",H349&lt;8,H349&gt;72),"",J349)</f>
        <v/>
      </c>
      <c r="T349" s="6">
        <f>IF(OR(P349="lyrics",P349="instrumental"),1,IF(AND(P349="none",COUNTIFS($B$2:$B$479,B349,$P$2:$P$479,"none")&gt;=3),1,0))</f>
        <v/>
      </c>
    </row>
    <row r="350">
      <c r="A350" s="3" t="n">
        <v>121</v>
      </c>
      <c r="B350" s="4" t="inlineStr">
        <is>
          <t>wouter</t>
        </is>
      </c>
      <c r="C350" s="4" t="inlineStr">
        <is>
          <t>lyrics</t>
        </is>
      </c>
      <c r="D350" s="4" t="inlineStr">
        <is>
          <t>2026-10-12T05:54:05.003Z</t>
        </is>
      </c>
      <c r="E350" s="3" t="n">
        <v>3</v>
      </c>
      <c r="F350" s="4" t="inlineStr">
        <is>
          <t>7 2 8 5 1 7 1 8</t>
        </is>
      </c>
      <c r="G350" s="3" t="n">
        <v>39</v>
      </c>
      <c r="H350" s="3" t="n">
        <v>39</v>
      </c>
      <c r="I350" s="3" t="inlineStr">
        <is>
          <t>true</t>
        </is>
      </c>
      <c r="J350" s="3" t="n">
        <v>0</v>
      </c>
      <c r="K350" s="3" t="n">
        <v>2256</v>
      </c>
      <c r="L350" s="3" t="n">
        <v>8</v>
      </c>
      <c r="M350" s="5" t="n">
        <v>1.5</v>
      </c>
      <c r="N350" s="3" t="n">
        <v>1</v>
      </c>
      <c r="O350" s="3" t="n">
        <v>9</v>
      </c>
      <c r="P350" s="6">
        <f>LOWER(TRIM(C350))</f>
        <v/>
      </c>
      <c r="Q350" s="6">
        <f>IF(I350="true",1,0)</f>
        <v/>
      </c>
      <c r="R350" s="7">
        <f>IF(K350="","",K350)</f>
        <v/>
      </c>
      <c r="S350" s="6">
        <f>IF(OR(H350="",H350&lt;8,H350&gt;72),"",J350)</f>
        <v/>
      </c>
      <c r="T350" s="6">
        <f>IF(OR(P350="lyrics",P350="instrumental"),1,IF(AND(P350="none",COUNTIFS($B$2:$B$479,B350,$P$2:$P$479,"none")&gt;=3),1,0))</f>
        <v/>
      </c>
    </row>
    <row r="351">
      <c r="A351" s="8" t="n">
        <v>122</v>
      </c>
      <c r="B351" s="9" t="inlineStr">
        <is>
          <t>wouter</t>
        </is>
      </c>
      <c r="C351" s="9" t="inlineStr">
        <is>
          <t>lyrics</t>
        </is>
      </c>
      <c r="D351" s="9" t="inlineStr">
        <is>
          <t>2026-10-12T05:55:00.627Z</t>
        </is>
      </c>
      <c r="E351" s="8" t="n">
        <v>1</v>
      </c>
      <c r="F351" s="9" t="inlineStr">
        <is>
          <t>2 4 5 5 8 8 9 8</t>
        </is>
      </c>
      <c r="G351" s="8" t="n">
        <v>49</v>
      </c>
      <c r="H351" s="8" t="n">
        <v>45</v>
      </c>
      <c r="I351" s="8" t="inlineStr">
        <is>
          <t>false</t>
        </is>
      </c>
      <c r="J351" s="8" t="n">
        <v>4</v>
      </c>
      <c r="K351" s="8" t="n">
        <v>7311</v>
      </c>
      <c r="L351" s="8" t="n">
        <v>8</v>
      </c>
      <c r="M351" s="10" t="n">
        <v>1.5</v>
      </c>
      <c r="N351" s="8" t="n">
        <v>1</v>
      </c>
      <c r="O351" s="8" t="n">
        <v>9</v>
      </c>
      <c r="P351" s="6">
        <f>LOWER(TRIM(C351))</f>
        <v/>
      </c>
      <c r="Q351" s="6">
        <f>IF(I351="true",1,0)</f>
        <v/>
      </c>
      <c r="R351" s="7">
        <f>IF(K351="","",K351)</f>
        <v/>
      </c>
      <c r="S351" s="6">
        <f>IF(OR(H351="",H351&lt;8,H351&gt;72),"",J351)</f>
        <v/>
      </c>
      <c r="T351" s="6">
        <f>IF(OR(P351="lyrics",P351="instrumental"),1,IF(AND(P351="none",COUNTIFS($B$2:$B$479,B351,$P$2:$P$479,"none")&gt;=3),1,0))</f>
        <v/>
      </c>
    </row>
    <row r="352">
      <c r="A352" s="3" t="n">
        <v>122</v>
      </c>
      <c r="B352" s="4" t="inlineStr">
        <is>
          <t>wouter</t>
        </is>
      </c>
      <c r="C352" s="4" t="inlineStr">
        <is>
          <t>lyrics</t>
        </is>
      </c>
      <c r="D352" s="4" t="inlineStr">
        <is>
          <t>2026-10-12T05:55:00.627Z</t>
        </is>
      </c>
      <c r="E352" s="3" t="n">
        <v>2</v>
      </c>
      <c r="F352" s="4" t="inlineStr">
        <is>
          <t>6 1 8 9 6 5 4 1</t>
        </is>
      </c>
      <c r="G352" s="3" t="n">
        <v>40</v>
      </c>
      <c r="H352" s="3" t="n">
        <v>40</v>
      </c>
      <c r="I352" s="3" t="inlineStr">
        <is>
          <t>true</t>
        </is>
      </c>
      <c r="J352" s="3" t="n">
        <v>0</v>
      </c>
      <c r="K352" s="3" t="n">
        <v>1615</v>
      </c>
      <c r="L352" s="3" t="n">
        <v>8</v>
      </c>
      <c r="M352" s="5" t="n">
        <v>1.5</v>
      </c>
      <c r="N352" s="3" t="n">
        <v>1</v>
      </c>
      <c r="O352" s="3" t="n">
        <v>9</v>
      </c>
      <c r="P352" s="6">
        <f>LOWER(TRIM(C352))</f>
        <v/>
      </c>
      <c r="Q352" s="6">
        <f>IF(I352="true",1,0)</f>
        <v/>
      </c>
      <c r="R352" s="7">
        <f>IF(K352="","",K352)</f>
        <v/>
      </c>
      <c r="S352" s="6">
        <f>IF(OR(H352="",H352&lt;8,H352&gt;72),"",J352)</f>
        <v/>
      </c>
      <c r="T352" s="6">
        <f>IF(OR(P352="lyrics",P352="instrumental"),1,IF(AND(P352="none",COUNTIFS($B$2:$B$479,B352,$P$2:$P$479,"none")&gt;=3),1,0))</f>
        <v/>
      </c>
    </row>
    <row r="353">
      <c r="A353" s="8" t="n">
        <v>122</v>
      </c>
      <c r="B353" s="9" t="inlineStr">
        <is>
          <t>wouter</t>
        </is>
      </c>
      <c r="C353" s="9" t="inlineStr">
        <is>
          <t>lyrics</t>
        </is>
      </c>
      <c r="D353" s="9" t="inlineStr">
        <is>
          <t>2026-10-12T05:55:00.627Z</t>
        </is>
      </c>
      <c r="E353" s="8" t="n">
        <v>3</v>
      </c>
      <c r="F353" s="9" t="inlineStr">
        <is>
          <t>3 5 1 3 4 7 3 1</t>
        </is>
      </c>
      <c r="G353" s="8" t="n">
        <v>27</v>
      </c>
      <c r="H353" s="8" t="n">
        <v>30</v>
      </c>
      <c r="I353" s="8" t="inlineStr">
        <is>
          <t>false</t>
        </is>
      </c>
      <c r="J353" s="8" t="n">
        <v>3</v>
      </c>
      <c r="K353" s="8" t="n">
        <v>2519</v>
      </c>
      <c r="L353" s="8" t="n">
        <v>8</v>
      </c>
      <c r="M353" s="10" t="n">
        <v>1.5</v>
      </c>
      <c r="N353" s="8" t="n">
        <v>1</v>
      </c>
      <c r="O353" s="8" t="n">
        <v>9</v>
      </c>
      <c r="P353" s="6">
        <f>LOWER(TRIM(C353))</f>
        <v/>
      </c>
      <c r="Q353" s="6">
        <f>IF(I353="true",1,0)</f>
        <v/>
      </c>
      <c r="R353" s="7">
        <f>IF(K353="","",K353)</f>
        <v/>
      </c>
      <c r="S353" s="6">
        <f>IF(OR(H353="",H353&lt;8,H353&gt;72),"",J353)</f>
        <v/>
      </c>
      <c r="T353" s="6">
        <f>IF(OR(P353="lyrics",P353="instrumental"),1,IF(AND(P353="none",COUNTIFS($B$2:$B$479,B353,$P$2:$P$479,"none")&gt;=3),1,0))</f>
        <v/>
      </c>
    </row>
    <row r="354">
      <c r="A354" s="3" t="n">
        <v>123</v>
      </c>
      <c r="B354" s="4" t="inlineStr">
        <is>
          <t>Deelnemer 1</t>
        </is>
      </c>
      <c r="C354" s="4" t="inlineStr">
        <is>
          <t>lyrics</t>
        </is>
      </c>
      <c r="D354" s="4" t="inlineStr">
        <is>
          <t>2026-10-14T12:12:25.704Z</t>
        </is>
      </c>
      <c r="E354" s="3" t="n">
        <v>1</v>
      </c>
      <c r="F354" s="4" t="inlineStr">
        <is>
          <t>4 7 1 6 5 8 2 4</t>
        </is>
      </c>
      <c r="G354" s="3" t="n">
        <v>37</v>
      </c>
      <c r="H354" s="3" t="n">
        <v>37</v>
      </c>
      <c r="I354" s="3" t="inlineStr">
        <is>
          <t>true</t>
        </is>
      </c>
      <c r="J354" s="3" t="n">
        <v>0</v>
      </c>
      <c r="K354" s="3" t="n">
        <v>5218</v>
      </c>
      <c r="L354" s="3" t="n">
        <v>8</v>
      </c>
      <c r="M354" s="5" t="n">
        <v>1.8</v>
      </c>
      <c r="N354" s="3" t="n">
        <v>1</v>
      </c>
      <c r="O354" s="3" t="n">
        <v>9</v>
      </c>
      <c r="P354" s="6">
        <f>LOWER(TRIM(C354))</f>
        <v/>
      </c>
      <c r="Q354" s="6">
        <f>IF(I354="true",1,0)</f>
        <v/>
      </c>
      <c r="R354" s="7">
        <f>IF(K354="","",K354)</f>
        <v/>
      </c>
      <c r="S354" s="6">
        <f>IF(OR(H354="",H354&lt;8,H354&gt;72),"",J354)</f>
        <v/>
      </c>
      <c r="T354" s="6">
        <f>IF(OR(P354="lyrics",P354="instrumental"),1,IF(AND(P354="none",COUNTIFS($B$2:$B$479,B354,$P$2:$P$479,"none")&gt;=3),1,0))</f>
        <v/>
      </c>
    </row>
    <row r="355">
      <c r="A355" s="8" t="n">
        <v>123</v>
      </c>
      <c r="B355" s="9" t="inlineStr">
        <is>
          <t>Deelnemer 1</t>
        </is>
      </c>
      <c r="C355" s="9" t="inlineStr">
        <is>
          <t>lyrics</t>
        </is>
      </c>
      <c r="D355" s="9" t="inlineStr">
        <is>
          <t>2026-10-14T12:12:25.704Z</t>
        </is>
      </c>
      <c r="E355" s="8" t="n">
        <v>2</v>
      </c>
      <c r="F355" s="9" t="inlineStr">
        <is>
          <t>2 9 1 1 1 9 1 5</t>
        </is>
      </c>
      <c r="G355" s="8" t="n">
        <v>29</v>
      </c>
      <c r="H355" s="8" t="n">
        <v>29</v>
      </c>
      <c r="I355" s="8" t="inlineStr">
        <is>
          <t>true</t>
        </is>
      </c>
      <c r="J355" s="8" t="n">
        <v>0</v>
      </c>
      <c r="K355" s="8" t="n">
        <v>2569</v>
      </c>
      <c r="L355" s="8" t="n">
        <v>8</v>
      </c>
      <c r="M355" s="10" t="n">
        <v>1.8</v>
      </c>
      <c r="N355" s="8" t="n">
        <v>1</v>
      </c>
      <c r="O355" s="8" t="n">
        <v>9</v>
      </c>
      <c r="P355" s="6">
        <f>LOWER(TRIM(C355))</f>
        <v/>
      </c>
      <c r="Q355" s="6">
        <f>IF(I355="true",1,0)</f>
        <v/>
      </c>
      <c r="R355" s="7">
        <f>IF(K355="","",K355)</f>
        <v/>
      </c>
      <c r="S355" s="6">
        <f>IF(OR(H355="",H355&lt;8,H355&gt;72),"",J355)</f>
        <v/>
      </c>
      <c r="T355" s="6">
        <f>IF(OR(P355="lyrics",P355="instrumental"),1,IF(AND(P355="none",COUNTIFS($B$2:$B$479,B355,$P$2:$P$479,"none")&gt;=3),1,0))</f>
        <v/>
      </c>
    </row>
    <row r="356">
      <c r="A356" s="3" t="n">
        <v>123</v>
      </c>
      <c r="B356" s="4" t="inlineStr">
        <is>
          <t>Deelnemer 1</t>
        </is>
      </c>
      <c r="C356" s="4" t="inlineStr">
        <is>
          <t>lyrics</t>
        </is>
      </c>
      <c r="D356" s="4" t="inlineStr">
        <is>
          <t>2026-10-14T12:12:25.704Z</t>
        </is>
      </c>
      <c r="E356" s="3" t="n">
        <v>3</v>
      </c>
      <c r="F356" s="4" t="inlineStr">
        <is>
          <t>6 3 5 2 1 6 2 8</t>
        </is>
      </c>
      <c r="G356" s="3" t="n">
        <v>33</v>
      </c>
      <c r="H356" s="3" t="n">
        <v>33</v>
      </c>
      <c r="I356" s="3" t="inlineStr">
        <is>
          <t>true</t>
        </is>
      </c>
      <c r="J356" s="3" t="n">
        <v>0</v>
      </c>
      <c r="K356" s="3" t="n">
        <v>4495</v>
      </c>
      <c r="L356" s="3" t="n">
        <v>8</v>
      </c>
      <c r="M356" s="5" t="n">
        <v>1.8</v>
      </c>
      <c r="N356" s="3" t="n">
        <v>1</v>
      </c>
      <c r="O356" s="3" t="n">
        <v>9</v>
      </c>
      <c r="P356" s="6">
        <f>LOWER(TRIM(C356))</f>
        <v/>
      </c>
      <c r="Q356" s="6">
        <f>IF(I356="true",1,0)</f>
        <v/>
      </c>
      <c r="R356" s="7">
        <f>IF(K356="","",K356)</f>
        <v/>
      </c>
      <c r="S356" s="6">
        <f>IF(OR(H356="",H356&lt;8,H356&gt;72),"",J356)</f>
        <v/>
      </c>
      <c r="T356" s="6">
        <f>IF(OR(P356="lyrics",P356="instrumental"),1,IF(AND(P356="none",COUNTIFS($B$2:$B$479,B356,$P$2:$P$479,"none")&gt;=3),1,0))</f>
        <v/>
      </c>
    </row>
    <row r="357">
      <c r="A357" s="8" t="n">
        <v>124</v>
      </c>
      <c r="B357" s="9" t="inlineStr">
        <is>
          <t>Deelnemer 1</t>
        </is>
      </c>
      <c r="C357" s="9" t="inlineStr">
        <is>
          <t>lyrics</t>
        </is>
      </c>
      <c r="D357" s="9" t="inlineStr">
        <is>
          <t>2026-10-14T12:14:42.494Z</t>
        </is>
      </c>
      <c r="E357" s="8" t="n">
        <v>1</v>
      </c>
      <c r="F357" s="9" t="inlineStr">
        <is>
          <t>7 5 6 8 1 7 1 6</t>
        </is>
      </c>
      <c r="G357" s="8" t="n">
        <v>41</v>
      </c>
      <c r="H357" s="8" t="n">
        <v>41</v>
      </c>
      <c r="I357" s="8" t="inlineStr">
        <is>
          <t>true</t>
        </is>
      </c>
      <c r="J357" s="8" t="n">
        <v>0</v>
      </c>
      <c r="K357" s="8" t="n">
        <v>2912</v>
      </c>
      <c r="L357" s="8" t="n">
        <v>8</v>
      </c>
      <c r="M357" s="10" t="n">
        <v>1.8</v>
      </c>
      <c r="N357" s="8" t="n">
        <v>1</v>
      </c>
      <c r="O357" s="8" t="n">
        <v>9</v>
      </c>
      <c r="P357" s="6">
        <f>LOWER(TRIM(C357))</f>
        <v/>
      </c>
      <c r="Q357" s="6">
        <f>IF(I357="true",1,0)</f>
        <v/>
      </c>
      <c r="R357" s="7">
        <f>IF(K357="","",K357)</f>
        <v/>
      </c>
      <c r="S357" s="6">
        <f>IF(OR(H357="",H357&lt;8,H357&gt;72),"",J357)</f>
        <v/>
      </c>
      <c r="T357" s="6">
        <f>IF(OR(P357="lyrics",P357="instrumental"),1,IF(AND(P357="none",COUNTIFS($B$2:$B$479,B357,$P$2:$P$479,"none")&gt;=3),1,0))</f>
        <v/>
      </c>
    </row>
    <row r="358">
      <c r="A358" s="3" t="n">
        <v>124</v>
      </c>
      <c r="B358" s="4" t="inlineStr">
        <is>
          <t>Deelnemer 1</t>
        </is>
      </c>
      <c r="C358" s="4" t="inlineStr">
        <is>
          <t>lyrics</t>
        </is>
      </c>
      <c r="D358" s="4" t="inlineStr">
        <is>
          <t>2026-10-14T12:14:42.494Z</t>
        </is>
      </c>
      <c r="E358" s="3" t="n">
        <v>2</v>
      </c>
      <c r="F358" s="4" t="inlineStr">
        <is>
          <t>4 3 2 5 8 7 2 2</t>
        </is>
      </c>
      <c r="G358" s="3" t="n">
        <v>33</v>
      </c>
      <c r="H358" s="3" t="n">
        <v>33</v>
      </c>
      <c r="I358" s="3" t="inlineStr">
        <is>
          <t>true</t>
        </is>
      </c>
      <c r="J358" s="3" t="n">
        <v>0</v>
      </c>
      <c r="K358" s="3" t="n">
        <v>1858</v>
      </c>
      <c r="L358" s="3" t="n">
        <v>8</v>
      </c>
      <c r="M358" s="5" t="n">
        <v>1.8</v>
      </c>
      <c r="N358" s="3" t="n">
        <v>1</v>
      </c>
      <c r="O358" s="3" t="n">
        <v>9</v>
      </c>
      <c r="P358" s="6">
        <f>LOWER(TRIM(C358))</f>
        <v/>
      </c>
      <c r="Q358" s="6">
        <f>IF(I358="true",1,0)</f>
        <v/>
      </c>
      <c r="R358" s="7">
        <f>IF(K358="","",K358)</f>
        <v/>
      </c>
      <c r="S358" s="6">
        <f>IF(OR(H358="",H358&lt;8,H358&gt;72),"",J358)</f>
        <v/>
      </c>
      <c r="T358" s="6">
        <f>IF(OR(P358="lyrics",P358="instrumental"),1,IF(AND(P358="none",COUNTIFS($B$2:$B$479,B358,$P$2:$P$479,"none")&gt;=3),1,0))</f>
        <v/>
      </c>
    </row>
    <row r="359">
      <c r="A359" s="8" t="n">
        <v>124</v>
      </c>
      <c r="B359" s="9" t="inlineStr">
        <is>
          <t>Deelnemer 1</t>
        </is>
      </c>
      <c r="C359" s="9" t="inlineStr">
        <is>
          <t>lyrics</t>
        </is>
      </c>
      <c r="D359" s="9" t="inlineStr">
        <is>
          <t>2026-10-14T12:14:42.494Z</t>
        </is>
      </c>
      <c r="E359" s="8" t="n">
        <v>3</v>
      </c>
      <c r="F359" s="9" t="inlineStr">
        <is>
          <t>9 3 7 5 2 3 6 6</t>
        </is>
      </c>
      <c r="G359" s="8" t="n">
        <v>41</v>
      </c>
      <c r="H359" s="8" t="n">
        <v>41</v>
      </c>
      <c r="I359" s="8" t="inlineStr">
        <is>
          <t>true</t>
        </is>
      </c>
      <c r="J359" s="8" t="n">
        <v>0</v>
      </c>
      <c r="K359" s="8" t="n">
        <v>1842</v>
      </c>
      <c r="L359" s="8" t="n">
        <v>8</v>
      </c>
      <c r="M359" s="10" t="n">
        <v>1.8</v>
      </c>
      <c r="N359" s="8" t="n">
        <v>1</v>
      </c>
      <c r="O359" s="8" t="n">
        <v>9</v>
      </c>
      <c r="P359" s="6">
        <f>LOWER(TRIM(C359))</f>
        <v/>
      </c>
      <c r="Q359" s="6">
        <f>IF(I359="true",1,0)</f>
        <v/>
      </c>
      <c r="R359" s="7">
        <f>IF(K359="","",K359)</f>
        <v/>
      </c>
      <c r="S359" s="6">
        <f>IF(OR(H359="",H359&lt;8,H359&gt;72),"",J359)</f>
        <v/>
      </c>
      <c r="T359" s="6">
        <f>IF(OR(P359="lyrics",P359="instrumental"),1,IF(AND(P359="none",COUNTIFS($B$2:$B$479,B359,$P$2:$P$479,"none")&gt;=3),1,0))</f>
        <v/>
      </c>
    </row>
    <row r="360">
      <c r="A360" s="3" t="n">
        <v>125</v>
      </c>
      <c r="B360" s="4" t="inlineStr">
        <is>
          <t>Deelnemer 1</t>
        </is>
      </c>
      <c r="C360" s="4" t="inlineStr">
        <is>
          <t>lyrics</t>
        </is>
      </c>
      <c r="D360" s="4" t="inlineStr">
        <is>
          <t>2026-10-14T12:17:57.120Z</t>
        </is>
      </c>
      <c r="E360" s="3" t="n">
        <v>1</v>
      </c>
      <c r="F360" s="4" t="inlineStr">
        <is>
          <t>5 2 6 4 6 9 2 6</t>
        </is>
      </c>
      <c r="G360" s="3" t="n">
        <v>40</v>
      </c>
      <c r="H360" s="3" t="n">
        <v>40</v>
      </c>
      <c r="I360" s="3" t="inlineStr">
        <is>
          <t>true</t>
        </is>
      </c>
      <c r="J360" s="3" t="n">
        <v>0</v>
      </c>
      <c r="K360" s="3" t="n">
        <v>1867</v>
      </c>
      <c r="L360" s="3" t="n">
        <v>8</v>
      </c>
      <c r="M360" s="5" t="n">
        <v>1.8</v>
      </c>
      <c r="N360" s="3" t="n">
        <v>1</v>
      </c>
      <c r="O360" s="3" t="n">
        <v>9</v>
      </c>
      <c r="P360" s="6">
        <f>LOWER(TRIM(C360))</f>
        <v/>
      </c>
      <c r="Q360" s="6">
        <f>IF(I360="true",1,0)</f>
        <v/>
      </c>
      <c r="R360" s="7">
        <f>IF(K360="","",K360)</f>
        <v/>
      </c>
      <c r="S360" s="6">
        <f>IF(OR(H360="",H360&lt;8,H360&gt;72),"",J360)</f>
        <v/>
      </c>
      <c r="T360" s="6">
        <f>IF(OR(P360="lyrics",P360="instrumental"),1,IF(AND(P360="none",COUNTIFS($B$2:$B$479,B360,$P$2:$P$479,"none")&gt;=3),1,0))</f>
        <v/>
      </c>
    </row>
    <row r="361">
      <c r="A361" s="8" t="n">
        <v>125</v>
      </c>
      <c r="B361" s="9" t="inlineStr">
        <is>
          <t>Deelnemer 1</t>
        </is>
      </c>
      <c r="C361" s="9" t="inlineStr">
        <is>
          <t>lyrics</t>
        </is>
      </c>
      <c r="D361" s="9" t="inlineStr">
        <is>
          <t>2026-10-14T12:17:57.120Z</t>
        </is>
      </c>
      <c r="E361" s="8" t="n">
        <v>2</v>
      </c>
      <c r="F361" s="9" t="inlineStr">
        <is>
          <t>9 3 2 2 7 1 3 2</t>
        </is>
      </c>
      <c r="G361" s="8" t="n">
        <v>29</v>
      </c>
      <c r="H361" s="8" t="n">
        <v>29</v>
      </c>
      <c r="I361" s="8" t="inlineStr">
        <is>
          <t>true</t>
        </is>
      </c>
      <c r="J361" s="8" t="n">
        <v>0</v>
      </c>
      <c r="K361" s="8" t="n">
        <v>2075</v>
      </c>
      <c r="L361" s="8" t="n">
        <v>8</v>
      </c>
      <c r="M361" s="10" t="n">
        <v>1.8</v>
      </c>
      <c r="N361" s="8" t="n">
        <v>1</v>
      </c>
      <c r="O361" s="8" t="n">
        <v>9</v>
      </c>
      <c r="P361" s="6">
        <f>LOWER(TRIM(C361))</f>
        <v/>
      </c>
      <c r="Q361" s="6">
        <f>IF(I361="true",1,0)</f>
        <v/>
      </c>
      <c r="R361" s="7">
        <f>IF(K361="","",K361)</f>
        <v/>
      </c>
      <c r="S361" s="6">
        <f>IF(OR(H361="",H361&lt;8,H361&gt;72),"",J361)</f>
        <v/>
      </c>
      <c r="T361" s="6">
        <f>IF(OR(P361="lyrics",P361="instrumental"),1,IF(AND(P361="none",COUNTIFS($B$2:$B$479,B361,$P$2:$P$479,"none")&gt;=3),1,0))</f>
        <v/>
      </c>
    </row>
    <row r="362">
      <c r="A362" s="3" t="n">
        <v>125</v>
      </c>
      <c r="B362" s="4" t="inlineStr">
        <is>
          <t>Deelnemer 1</t>
        </is>
      </c>
      <c r="C362" s="4" t="inlineStr">
        <is>
          <t>lyrics</t>
        </is>
      </c>
      <c r="D362" s="4" t="inlineStr">
        <is>
          <t>2026-10-14T12:17:57.120Z</t>
        </is>
      </c>
      <c r="E362" s="3" t="n">
        <v>3</v>
      </c>
      <c r="F362" s="4" t="inlineStr">
        <is>
          <t>4 9 1 1 9 5 8 7</t>
        </is>
      </c>
      <c r="G362" s="3" t="n">
        <v>44</v>
      </c>
      <c r="H362" s="3" t="n">
        <v>44</v>
      </c>
      <c r="I362" s="3" t="inlineStr">
        <is>
          <t>true</t>
        </is>
      </c>
      <c r="J362" s="3" t="n">
        <v>0</v>
      </c>
      <c r="K362" s="3" t="n">
        <v>5746</v>
      </c>
      <c r="L362" s="3" t="n">
        <v>8</v>
      </c>
      <c r="M362" s="5" t="n">
        <v>1.8</v>
      </c>
      <c r="N362" s="3" t="n">
        <v>1</v>
      </c>
      <c r="O362" s="3" t="n">
        <v>9</v>
      </c>
      <c r="P362" s="6">
        <f>LOWER(TRIM(C362))</f>
        <v/>
      </c>
      <c r="Q362" s="6">
        <f>IF(I362="true",1,0)</f>
        <v/>
      </c>
      <c r="R362" s="7">
        <f>IF(K362="","",K362)</f>
        <v/>
      </c>
      <c r="S362" s="6">
        <f>IF(OR(H362="",H362&lt;8,H362&gt;72),"",J362)</f>
        <v/>
      </c>
      <c r="T362" s="6">
        <f>IF(OR(P362="lyrics",P362="instrumental"),1,IF(AND(P362="none",COUNTIFS($B$2:$B$479,B362,$P$2:$P$479,"none")&gt;=3),1,0))</f>
        <v/>
      </c>
    </row>
    <row r="363">
      <c r="A363" s="8" t="n">
        <v>126</v>
      </c>
      <c r="B363" s="9" t="inlineStr">
        <is>
          <t>Deelnemer 1</t>
        </is>
      </c>
      <c r="C363" s="9" t="inlineStr">
        <is>
          <t>instrumental</t>
        </is>
      </c>
      <c r="D363" s="9" t="inlineStr">
        <is>
          <t>2026-10-14T12:19:24.932Z</t>
        </is>
      </c>
      <c r="E363" s="8" t="n">
        <v>1</v>
      </c>
      <c r="F363" s="9" t="inlineStr">
        <is>
          <t>8 5 3 1 2 2 6 8</t>
        </is>
      </c>
      <c r="G363" s="8" t="n">
        <v>35</v>
      </c>
      <c r="H363" s="8" t="n">
        <v>35</v>
      </c>
      <c r="I363" s="8" t="inlineStr">
        <is>
          <t>true</t>
        </is>
      </c>
      <c r="J363" s="8" t="n">
        <v>0</v>
      </c>
      <c r="K363" s="8" t="n">
        <v>4765</v>
      </c>
      <c r="L363" s="8" t="n">
        <v>8</v>
      </c>
      <c r="M363" s="10" t="n">
        <v>1.8</v>
      </c>
      <c r="N363" s="8" t="n">
        <v>1</v>
      </c>
      <c r="O363" s="8" t="n">
        <v>9</v>
      </c>
      <c r="P363" s="6">
        <f>LOWER(TRIM(C363))</f>
        <v/>
      </c>
      <c r="Q363" s="6">
        <f>IF(I363="true",1,0)</f>
        <v/>
      </c>
      <c r="R363" s="7">
        <f>IF(K363="","",K363)</f>
        <v/>
      </c>
      <c r="S363" s="6">
        <f>IF(OR(H363="",H363&lt;8,H363&gt;72),"",J363)</f>
        <v/>
      </c>
      <c r="T363" s="6">
        <f>IF(OR(P363="lyrics",P363="instrumental"),1,IF(AND(P363="none",COUNTIFS($B$2:$B$479,B363,$P$2:$P$479,"none")&gt;=3),1,0))</f>
        <v/>
      </c>
    </row>
    <row r="364">
      <c r="A364" s="3" t="n">
        <v>126</v>
      </c>
      <c r="B364" s="4" t="inlineStr">
        <is>
          <t>Deelnemer 1</t>
        </is>
      </c>
      <c r="C364" s="4" t="inlineStr">
        <is>
          <t>instrumental</t>
        </is>
      </c>
      <c r="D364" s="4" t="inlineStr">
        <is>
          <t>2026-10-14T12:19:24.932Z</t>
        </is>
      </c>
      <c r="E364" s="3" t="n">
        <v>2</v>
      </c>
      <c r="F364" s="4" t="inlineStr">
        <is>
          <t>7 9 2 6 7 8 2 1</t>
        </is>
      </c>
      <c r="G364" s="3" t="n">
        <v>42</v>
      </c>
      <c r="H364" s="3" t="n">
        <v>54</v>
      </c>
      <c r="I364" s="3" t="inlineStr">
        <is>
          <t>false</t>
        </is>
      </c>
      <c r="J364" s="3" t="n">
        <v>12</v>
      </c>
      <c r="K364" s="3" t="n">
        <v>3495</v>
      </c>
      <c r="L364" s="3" t="n">
        <v>8</v>
      </c>
      <c r="M364" s="5" t="n">
        <v>1.8</v>
      </c>
      <c r="N364" s="3" t="n">
        <v>1</v>
      </c>
      <c r="O364" s="3" t="n">
        <v>9</v>
      </c>
      <c r="P364" s="6">
        <f>LOWER(TRIM(C364))</f>
        <v/>
      </c>
      <c r="Q364" s="6">
        <f>IF(I364="true",1,0)</f>
        <v/>
      </c>
      <c r="R364" s="7">
        <f>IF(K364="","",K364)</f>
        <v/>
      </c>
      <c r="S364" s="6">
        <f>IF(OR(H364="",H364&lt;8,H364&gt;72),"",J364)</f>
        <v/>
      </c>
      <c r="T364" s="6">
        <f>IF(OR(P364="lyrics",P364="instrumental"),1,IF(AND(P364="none",COUNTIFS($B$2:$B$479,B364,$P$2:$P$479,"none")&gt;=3),1,0))</f>
        <v/>
      </c>
    </row>
    <row r="365">
      <c r="A365" s="8" t="n">
        <v>126</v>
      </c>
      <c r="B365" s="9" t="inlineStr">
        <is>
          <t>Deelnemer 1</t>
        </is>
      </c>
      <c r="C365" s="9" t="inlineStr">
        <is>
          <t>instrumental</t>
        </is>
      </c>
      <c r="D365" s="9" t="inlineStr">
        <is>
          <t>2026-10-14T12:19:24.932Z</t>
        </is>
      </c>
      <c r="E365" s="8" t="n">
        <v>3</v>
      </c>
      <c r="F365" s="9" t="inlineStr">
        <is>
          <t>4 6 2 9 5 7 1 3</t>
        </is>
      </c>
      <c r="G365" s="8" t="n">
        <v>37</v>
      </c>
      <c r="H365" s="8" t="n">
        <v>37</v>
      </c>
      <c r="I365" s="8" t="inlineStr">
        <is>
          <t>true</t>
        </is>
      </c>
      <c r="J365" s="8" t="n">
        <v>0</v>
      </c>
      <c r="K365" s="8" t="n">
        <v>2552</v>
      </c>
      <c r="L365" s="8" t="n">
        <v>8</v>
      </c>
      <c r="M365" s="10" t="n">
        <v>1.8</v>
      </c>
      <c r="N365" s="8" t="n">
        <v>1</v>
      </c>
      <c r="O365" s="8" t="n">
        <v>9</v>
      </c>
      <c r="P365" s="6">
        <f>LOWER(TRIM(C365))</f>
        <v/>
      </c>
      <c r="Q365" s="6">
        <f>IF(I365="true",1,0)</f>
        <v/>
      </c>
      <c r="R365" s="7">
        <f>IF(K365="","",K365)</f>
        <v/>
      </c>
      <c r="S365" s="6">
        <f>IF(OR(H365="",H365&lt;8,H365&gt;72),"",J365)</f>
        <v/>
      </c>
      <c r="T365" s="6">
        <f>IF(OR(P365="lyrics",P365="instrumental"),1,IF(AND(P365="none",COUNTIFS($B$2:$B$479,B365,$P$2:$P$479,"none")&gt;=3),1,0))</f>
        <v/>
      </c>
    </row>
    <row r="366">
      <c r="A366" s="3" t="n">
        <v>127</v>
      </c>
      <c r="B366" s="4" t="inlineStr">
        <is>
          <t>Deelnemer 1</t>
        </is>
      </c>
      <c r="C366" s="4" t="inlineStr">
        <is>
          <t>instrumental</t>
        </is>
      </c>
      <c r="D366" s="4" t="inlineStr">
        <is>
          <t>2026-10-14T12:20:48.143Z</t>
        </is>
      </c>
      <c r="E366" s="3" t="n">
        <v>1</v>
      </c>
      <c r="F366" s="4" t="inlineStr">
        <is>
          <t>1 7 5 6 4 4 8 1</t>
        </is>
      </c>
      <c r="G366" s="3" t="n">
        <v>36</v>
      </c>
      <c r="H366" s="3" t="n">
        <v>36</v>
      </c>
      <c r="I366" s="3" t="inlineStr">
        <is>
          <t>true</t>
        </is>
      </c>
      <c r="J366" s="3" t="n">
        <v>0</v>
      </c>
      <c r="K366" s="3" t="n">
        <v>2882</v>
      </c>
      <c r="L366" s="3" t="n">
        <v>8</v>
      </c>
      <c r="M366" s="5" t="n">
        <v>1.8</v>
      </c>
      <c r="N366" s="3" t="n">
        <v>1</v>
      </c>
      <c r="O366" s="3" t="n">
        <v>9</v>
      </c>
      <c r="P366" s="6">
        <f>LOWER(TRIM(C366))</f>
        <v/>
      </c>
      <c r="Q366" s="6">
        <f>IF(I366="true",1,0)</f>
        <v/>
      </c>
      <c r="R366" s="7">
        <f>IF(K366="","",K366)</f>
        <v/>
      </c>
      <c r="S366" s="6">
        <f>IF(OR(H366="",H366&lt;8,H366&gt;72),"",J366)</f>
        <v/>
      </c>
      <c r="T366" s="6">
        <f>IF(OR(P366="lyrics",P366="instrumental"),1,IF(AND(P366="none",COUNTIFS($B$2:$B$479,B366,$P$2:$P$479,"none")&gt;=3),1,0))</f>
        <v/>
      </c>
    </row>
    <row r="367">
      <c r="A367" s="8" t="n">
        <v>127</v>
      </c>
      <c r="B367" s="9" t="inlineStr">
        <is>
          <t>Deelnemer 1</t>
        </is>
      </c>
      <c r="C367" s="9" t="inlineStr">
        <is>
          <t>instrumental</t>
        </is>
      </c>
      <c r="D367" s="9" t="inlineStr">
        <is>
          <t>2026-10-14T12:20:48.143Z</t>
        </is>
      </c>
      <c r="E367" s="8" t="n">
        <v>2</v>
      </c>
      <c r="F367" s="9" t="inlineStr">
        <is>
          <t>2 5 9 5 8 6 1 2</t>
        </is>
      </c>
      <c r="G367" s="8" t="n">
        <v>38</v>
      </c>
      <c r="H367" s="8" t="n">
        <v>39</v>
      </c>
      <c r="I367" s="8" t="inlineStr">
        <is>
          <t>false</t>
        </is>
      </c>
      <c r="J367" s="8" t="n">
        <v>1</v>
      </c>
      <c r="K367" s="8" t="n">
        <v>2379</v>
      </c>
      <c r="L367" s="8" t="n">
        <v>8</v>
      </c>
      <c r="M367" s="10" t="n">
        <v>1.8</v>
      </c>
      <c r="N367" s="8" t="n">
        <v>1</v>
      </c>
      <c r="O367" s="8" t="n">
        <v>9</v>
      </c>
      <c r="P367" s="6">
        <f>LOWER(TRIM(C367))</f>
        <v/>
      </c>
      <c r="Q367" s="6">
        <f>IF(I367="true",1,0)</f>
        <v/>
      </c>
      <c r="R367" s="7">
        <f>IF(K367="","",K367)</f>
        <v/>
      </c>
      <c r="S367" s="6">
        <f>IF(OR(H367="",H367&lt;8,H367&gt;72),"",J367)</f>
        <v/>
      </c>
      <c r="T367" s="6">
        <f>IF(OR(P367="lyrics",P367="instrumental"),1,IF(AND(P367="none",COUNTIFS($B$2:$B$479,B367,$P$2:$P$479,"none")&gt;=3),1,0))</f>
        <v/>
      </c>
    </row>
    <row r="368">
      <c r="A368" s="3" t="n">
        <v>127</v>
      </c>
      <c r="B368" s="4" t="inlineStr">
        <is>
          <t>Deelnemer 1</t>
        </is>
      </c>
      <c r="C368" s="4" t="inlineStr">
        <is>
          <t>instrumental</t>
        </is>
      </c>
      <c r="D368" s="4" t="inlineStr">
        <is>
          <t>2026-10-14T12:20:48.143Z</t>
        </is>
      </c>
      <c r="E368" s="3" t="n">
        <v>3</v>
      </c>
      <c r="F368" s="4" t="inlineStr">
        <is>
          <t>8 9 8 8 8 1 8 6</t>
        </is>
      </c>
      <c r="G368" s="3" t="n">
        <v>56</v>
      </c>
      <c r="H368" s="3" t="n">
        <v>56</v>
      </c>
      <c r="I368" s="3" t="inlineStr">
        <is>
          <t>true</t>
        </is>
      </c>
      <c r="J368" s="3" t="n">
        <v>0</v>
      </c>
      <c r="K368" s="3" t="n">
        <v>1413</v>
      </c>
      <c r="L368" s="3" t="n">
        <v>8</v>
      </c>
      <c r="M368" s="5" t="n">
        <v>1.8</v>
      </c>
      <c r="N368" s="3" t="n">
        <v>1</v>
      </c>
      <c r="O368" s="3" t="n">
        <v>9</v>
      </c>
      <c r="P368" s="6">
        <f>LOWER(TRIM(C368))</f>
        <v/>
      </c>
      <c r="Q368" s="6">
        <f>IF(I368="true",1,0)</f>
        <v/>
      </c>
      <c r="R368" s="7">
        <f>IF(K368="","",K368)</f>
        <v/>
      </c>
      <c r="S368" s="6">
        <f>IF(OR(H368="",H368&lt;8,H368&gt;72),"",J368)</f>
        <v/>
      </c>
      <c r="T368" s="6">
        <f>IF(OR(P368="lyrics",P368="instrumental"),1,IF(AND(P368="none",COUNTIFS($B$2:$B$479,B368,$P$2:$P$479,"none")&gt;=3),1,0))</f>
        <v/>
      </c>
    </row>
    <row r="369">
      <c r="A369" s="8" t="n">
        <v>128</v>
      </c>
      <c r="B369" s="9" t="inlineStr">
        <is>
          <t>Deelnemer 1</t>
        </is>
      </c>
      <c r="C369" s="9" t="inlineStr">
        <is>
          <t>instrumental</t>
        </is>
      </c>
      <c r="D369" s="9" t="inlineStr">
        <is>
          <t>2026-10-14T12:22:01.357Z</t>
        </is>
      </c>
      <c r="E369" s="8" t="n">
        <v>1</v>
      </c>
      <c r="F369" s="9" t="inlineStr">
        <is>
          <t>6 4 7 2 5 9 7 2</t>
        </is>
      </c>
      <c r="G369" s="8" t="n">
        <v>42</v>
      </c>
      <c r="H369" s="8" t="n">
        <v>41</v>
      </c>
      <c r="I369" s="8" t="inlineStr">
        <is>
          <t>false</t>
        </is>
      </c>
      <c r="J369" s="8" t="n">
        <v>1</v>
      </c>
      <c r="K369" s="8" t="n">
        <v>6995</v>
      </c>
      <c r="L369" s="8" t="n">
        <v>8</v>
      </c>
      <c r="M369" s="10" t="n">
        <v>1.8</v>
      </c>
      <c r="N369" s="8" t="n">
        <v>1</v>
      </c>
      <c r="O369" s="8" t="n">
        <v>9</v>
      </c>
      <c r="P369" s="6">
        <f>LOWER(TRIM(C369))</f>
        <v/>
      </c>
      <c r="Q369" s="6">
        <f>IF(I369="true",1,0)</f>
        <v/>
      </c>
      <c r="R369" s="7">
        <f>IF(K369="","",K369)</f>
        <v/>
      </c>
      <c r="S369" s="6">
        <f>IF(OR(H369="",H369&lt;8,H369&gt;72),"",J369)</f>
        <v/>
      </c>
      <c r="T369" s="6">
        <f>IF(OR(P369="lyrics",P369="instrumental"),1,IF(AND(P369="none",COUNTIFS($B$2:$B$479,B369,$P$2:$P$479,"none")&gt;=3),1,0))</f>
        <v/>
      </c>
    </row>
    <row r="370">
      <c r="A370" s="3" t="n">
        <v>128</v>
      </c>
      <c r="B370" s="4" t="inlineStr">
        <is>
          <t>Deelnemer 1</t>
        </is>
      </c>
      <c r="C370" s="4" t="inlineStr">
        <is>
          <t>instrumental</t>
        </is>
      </c>
      <c r="D370" s="4" t="inlineStr">
        <is>
          <t>2026-10-14T12:22:01.357Z</t>
        </is>
      </c>
      <c r="E370" s="3" t="n">
        <v>2</v>
      </c>
      <c r="F370" s="4" t="inlineStr">
        <is>
          <t>7 9 4 4 6 1 2 1</t>
        </is>
      </c>
      <c r="G370" s="3" t="n">
        <v>34</v>
      </c>
      <c r="H370" s="3" t="n">
        <v>34</v>
      </c>
      <c r="I370" s="3" t="inlineStr">
        <is>
          <t>true</t>
        </is>
      </c>
      <c r="J370" s="3" t="n">
        <v>0</v>
      </c>
      <c r="K370" s="3" t="n">
        <v>2330</v>
      </c>
      <c r="L370" s="3" t="n">
        <v>8</v>
      </c>
      <c r="M370" s="5" t="n">
        <v>1.8</v>
      </c>
      <c r="N370" s="3" t="n">
        <v>1</v>
      </c>
      <c r="O370" s="3" t="n">
        <v>9</v>
      </c>
      <c r="P370" s="6">
        <f>LOWER(TRIM(C370))</f>
        <v/>
      </c>
      <c r="Q370" s="6">
        <f>IF(I370="true",1,0)</f>
        <v/>
      </c>
      <c r="R370" s="7">
        <f>IF(K370="","",K370)</f>
        <v/>
      </c>
      <c r="S370" s="6">
        <f>IF(OR(H370="",H370&lt;8,H370&gt;72),"",J370)</f>
        <v/>
      </c>
      <c r="T370" s="6">
        <f>IF(OR(P370="lyrics",P370="instrumental"),1,IF(AND(P370="none",COUNTIFS($B$2:$B$479,B370,$P$2:$P$479,"none")&gt;=3),1,0))</f>
        <v/>
      </c>
    </row>
    <row r="371">
      <c r="A371" s="8" t="n">
        <v>128</v>
      </c>
      <c r="B371" s="9" t="inlineStr">
        <is>
          <t>Deelnemer 1</t>
        </is>
      </c>
      <c r="C371" s="9" t="inlineStr">
        <is>
          <t>instrumental</t>
        </is>
      </c>
      <c r="D371" s="9" t="inlineStr">
        <is>
          <t>2026-10-14T12:22:01.357Z</t>
        </is>
      </c>
      <c r="E371" s="8" t="n">
        <v>3</v>
      </c>
      <c r="F371" s="9" t="inlineStr">
        <is>
          <t>9 9 7 1 6 6 3 2</t>
        </is>
      </c>
      <c r="G371" s="8" t="n">
        <v>43</v>
      </c>
      <c r="H371" s="8" t="n">
        <v>43</v>
      </c>
      <c r="I371" s="8" t="inlineStr">
        <is>
          <t>true</t>
        </is>
      </c>
      <c r="J371" s="8" t="n">
        <v>0</v>
      </c>
      <c r="K371" s="8" t="n">
        <v>2043</v>
      </c>
      <c r="L371" s="8" t="n">
        <v>8</v>
      </c>
      <c r="M371" s="10" t="n">
        <v>1.8</v>
      </c>
      <c r="N371" s="8" t="n">
        <v>1</v>
      </c>
      <c r="O371" s="8" t="n">
        <v>9</v>
      </c>
      <c r="P371" s="6">
        <f>LOWER(TRIM(C371))</f>
        <v/>
      </c>
      <c r="Q371" s="6">
        <f>IF(I371="true",1,0)</f>
        <v/>
      </c>
      <c r="R371" s="7">
        <f>IF(K371="","",K371)</f>
        <v/>
      </c>
      <c r="S371" s="6">
        <f>IF(OR(H371="",H371&lt;8,H371&gt;72),"",J371)</f>
        <v/>
      </c>
      <c r="T371" s="6">
        <f>IF(OR(P371="lyrics",P371="instrumental"),1,IF(AND(P371="none",COUNTIFS($B$2:$B$479,B371,$P$2:$P$479,"none")&gt;=3),1,0))</f>
        <v/>
      </c>
    </row>
    <row r="372">
      <c r="A372" s="3" t="n">
        <v>129</v>
      </c>
      <c r="B372" s="4" t="inlineStr">
        <is>
          <t>Deelnemer 2</t>
        </is>
      </c>
      <c r="C372" s="4" t="inlineStr">
        <is>
          <t>instrumental</t>
        </is>
      </c>
      <c r="D372" s="4" t="inlineStr">
        <is>
          <t>2026-10-14T12:28:37.207Z</t>
        </is>
      </c>
      <c r="E372" s="3" t="n">
        <v>1</v>
      </c>
      <c r="F372" s="4" t="inlineStr">
        <is>
          <t>2 4 5 6 5 4 6 3</t>
        </is>
      </c>
      <c r="G372" s="3" t="n">
        <v>35</v>
      </c>
      <c r="H372" s="3" t="n">
        <v>37</v>
      </c>
      <c r="I372" s="3" t="inlineStr">
        <is>
          <t>false</t>
        </is>
      </c>
      <c r="J372" s="3" t="n">
        <v>2</v>
      </c>
      <c r="K372" s="3" t="n">
        <v>6543</v>
      </c>
      <c r="L372" s="3" t="n">
        <v>8</v>
      </c>
      <c r="M372" s="5" t="n">
        <v>1.8</v>
      </c>
      <c r="N372" s="3" t="n">
        <v>1</v>
      </c>
      <c r="O372" s="3" t="n">
        <v>9</v>
      </c>
      <c r="P372" s="6">
        <f>LOWER(TRIM(C372))</f>
        <v/>
      </c>
      <c r="Q372" s="6">
        <f>IF(I372="true",1,0)</f>
        <v/>
      </c>
      <c r="R372" s="7">
        <f>IF(K372="","",K372)</f>
        <v/>
      </c>
      <c r="S372" s="6">
        <f>IF(OR(H372="",H372&lt;8,H372&gt;72),"",J372)</f>
        <v/>
      </c>
      <c r="T372" s="6">
        <f>IF(OR(P372="lyrics",P372="instrumental"),1,IF(AND(P372="none",COUNTIFS($B$2:$B$479,B372,$P$2:$P$479,"none")&gt;=3),1,0))</f>
        <v/>
      </c>
    </row>
    <row r="373">
      <c r="A373" s="8" t="n">
        <v>129</v>
      </c>
      <c r="B373" s="9" t="inlineStr">
        <is>
          <t>Deelnemer 2</t>
        </is>
      </c>
      <c r="C373" s="9" t="inlineStr">
        <is>
          <t>instrumental</t>
        </is>
      </c>
      <c r="D373" s="9" t="inlineStr">
        <is>
          <t>2026-10-14T12:28:37.207Z</t>
        </is>
      </c>
      <c r="E373" s="8" t="n">
        <v>2</v>
      </c>
      <c r="F373" s="9" t="inlineStr">
        <is>
          <t>4 1 7 9 7 6 6 6</t>
        </is>
      </c>
      <c r="G373" s="8" t="n">
        <v>46</v>
      </c>
      <c r="H373" s="8" t="n">
        <v>39</v>
      </c>
      <c r="I373" s="8" t="inlineStr">
        <is>
          <t>false</t>
        </is>
      </c>
      <c r="J373" s="8" t="n">
        <v>7</v>
      </c>
      <c r="K373" s="8" t="n">
        <v>6484</v>
      </c>
      <c r="L373" s="8" t="n">
        <v>8</v>
      </c>
      <c r="M373" s="10" t="n">
        <v>1.8</v>
      </c>
      <c r="N373" s="8" t="n">
        <v>1</v>
      </c>
      <c r="O373" s="8" t="n">
        <v>9</v>
      </c>
      <c r="P373" s="6">
        <f>LOWER(TRIM(C373))</f>
        <v/>
      </c>
      <c r="Q373" s="6">
        <f>IF(I373="true",1,0)</f>
        <v/>
      </c>
      <c r="R373" s="7">
        <f>IF(K373="","",K373)</f>
        <v/>
      </c>
      <c r="S373" s="6">
        <f>IF(OR(H373="",H373&lt;8,H373&gt;72),"",J373)</f>
        <v/>
      </c>
      <c r="T373" s="6">
        <f>IF(OR(P373="lyrics",P373="instrumental"),1,IF(AND(P373="none",COUNTIFS($B$2:$B$479,B373,$P$2:$P$479,"none")&gt;=3),1,0))</f>
        <v/>
      </c>
    </row>
    <row r="374">
      <c r="A374" s="3" t="n">
        <v>129</v>
      </c>
      <c r="B374" s="4" t="inlineStr">
        <is>
          <t>Deelnemer 2</t>
        </is>
      </c>
      <c r="C374" s="4" t="inlineStr">
        <is>
          <t>instrumental</t>
        </is>
      </c>
      <c r="D374" s="4" t="inlineStr">
        <is>
          <t>2026-10-14T12:28:37.207Z</t>
        </is>
      </c>
      <c r="E374" s="3" t="n">
        <v>3</v>
      </c>
      <c r="F374" s="4" t="inlineStr">
        <is>
          <t>6 9 3 7 4 7 3 1</t>
        </is>
      </c>
      <c r="G374" s="3" t="n">
        <v>40</v>
      </c>
      <c r="H374" s="3" t="n">
        <v>36</v>
      </c>
      <c r="I374" s="3" t="inlineStr">
        <is>
          <t>false</t>
        </is>
      </c>
      <c r="J374" s="3" t="n">
        <v>4</v>
      </c>
      <c r="K374" s="3" t="n">
        <v>6146</v>
      </c>
      <c r="L374" s="3" t="n">
        <v>8</v>
      </c>
      <c r="M374" s="5" t="n">
        <v>1.8</v>
      </c>
      <c r="N374" s="3" t="n">
        <v>1</v>
      </c>
      <c r="O374" s="3" t="n">
        <v>9</v>
      </c>
      <c r="P374" s="6">
        <f>LOWER(TRIM(C374))</f>
        <v/>
      </c>
      <c r="Q374" s="6">
        <f>IF(I374="true",1,0)</f>
        <v/>
      </c>
      <c r="R374" s="7">
        <f>IF(K374="","",K374)</f>
        <v/>
      </c>
      <c r="S374" s="6">
        <f>IF(OR(H374="",H374&lt;8,H374&gt;72),"",J374)</f>
        <v/>
      </c>
      <c r="T374" s="6">
        <f>IF(OR(P374="lyrics",P374="instrumental"),1,IF(AND(P374="none",COUNTIFS($B$2:$B$479,B374,$P$2:$P$479,"none")&gt;=3),1,0))</f>
        <v/>
      </c>
    </row>
    <row r="375">
      <c r="A375" s="8" t="n">
        <v>130</v>
      </c>
      <c r="B375" s="9" t="inlineStr">
        <is>
          <t>Deelnemer 2</t>
        </is>
      </c>
      <c r="C375" s="9" t="inlineStr">
        <is>
          <t>instrumental</t>
        </is>
      </c>
      <c r="D375" s="9" t="inlineStr">
        <is>
          <t>2026-10-14T12:30:28.414Z</t>
        </is>
      </c>
      <c r="E375" s="8" t="n">
        <v>1</v>
      </c>
      <c r="F375" s="9" t="inlineStr">
        <is>
          <t>5 4 7 8 7 7 9 4</t>
        </is>
      </c>
      <c r="G375" s="8" t="n">
        <v>51</v>
      </c>
      <c r="H375" s="8" t="n">
        <v>44</v>
      </c>
      <c r="I375" s="8" t="inlineStr">
        <is>
          <t>false</t>
        </is>
      </c>
      <c r="J375" s="8" t="n">
        <v>7</v>
      </c>
      <c r="K375" s="8" t="n">
        <v>4647</v>
      </c>
      <c r="L375" s="8" t="n">
        <v>8</v>
      </c>
      <c r="M375" s="10" t="n">
        <v>1.8</v>
      </c>
      <c r="N375" s="8" t="n">
        <v>1</v>
      </c>
      <c r="O375" s="8" t="n">
        <v>9</v>
      </c>
      <c r="P375" s="6">
        <f>LOWER(TRIM(C375))</f>
        <v/>
      </c>
      <c r="Q375" s="6">
        <f>IF(I375="true",1,0)</f>
        <v/>
      </c>
      <c r="R375" s="7">
        <f>IF(K375="","",K375)</f>
        <v/>
      </c>
      <c r="S375" s="6">
        <f>IF(OR(H375="",H375&lt;8,H375&gt;72),"",J375)</f>
        <v/>
      </c>
      <c r="T375" s="6">
        <f>IF(OR(P375="lyrics",P375="instrumental"),1,IF(AND(P375="none",COUNTIFS($B$2:$B$479,B375,$P$2:$P$479,"none")&gt;=3),1,0))</f>
        <v/>
      </c>
    </row>
    <row r="376">
      <c r="A376" s="3" t="n">
        <v>130</v>
      </c>
      <c r="B376" s="4" t="inlineStr">
        <is>
          <t>Deelnemer 2</t>
        </is>
      </c>
      <c r="C376" s="4" t="inlineStr">
        <is>
          <t>instrumental</t>
        </is>
      </c>
      <c r="D376" s="4" t="inlineStr">
        <is>
          <t>2026-10-14T12:30:28.414Z</t>
        </is>
      </c>
      <c r="E376" s="3" t="n">
        <v>2</v>
      </c>
      <c r="F376" s="4" t="inlineStr">
        <is>
          <t>6 3 9 5 3 9 1 6</t>
        </is>
      </c>
      <c r="G376" s="3" t="n">
        <v>42</v>
      </c>
      <c r="H376" s="3" t="n">
        <v>33</v>
      </c>
      <c r="I376" s="3" t="inlineStr">
        <is>
          <t>false</t>
        </is>
      </c>
      <c r="J376" s="3" t="n">
        <v>9</v>
      </c>
      <c r="K376" s="3" t="n">
        <v>5463</v>
      </c>
      <c r="L376" s="3" t="n">
        <v>8</v>
      </c>
      <c r="M376" s="5" t="n">
        <v>1.8</v>
      </c>
      <c r="N376" s="3" t="n">
        <v>1</v>
      </c>
      <c r="O376" s="3" t="n">
        <v>9</v>
      </c>
      <c r="P376" s="6">
        <f>LOWER(TRIM(C376))</f>
        <v/>
      </c>
      <c r="Q376" s="6">
        <f>IF(I376="true",1,0)</f>
        <v/>
      </c>
      <c r="R376" s="7">
        <f>IF(K376="","",K376)</f>
        <v/>
      </c>
      <c r="S376" s="6">
        <f>IF(OR(H376="",H376&lt;8,H376&gt;72),"",J376)</f>
        <v/>
      </c>
      <c r="T376" s="6">
        <f>IF(OR(P376="lyrics",P376="instrumental"),1,IF(AND(P376="none",COUNTIFS($B$2:$B$479,B376,$P$2:$P$479,"none")&gt;=3),1,0))</f>
        <v/>
      </c>
    </row>
    <row r="377">
      <c r="A377" s="8" t="n">
        <v>130</v>
      </c>
      <c r="B377" s="9" t="inlineStr">
        <is>
          <t>Deelnemer 2</t>
        </is>
      </c>
      <c r="C377" s="9" t="inlineStr">
        <is>
          <t>instrumental</t>
        </is>
      </c>
      <c r="D377" s="9" t="inlineStr">
        <is>
          <t>2026-10-14T12:30:28.414Z</t>
        </is>
      </c>
      <c r="E377" s="8" t="n">
        <v>3</v>
      </c>
      <c r="F377" s="9" t="inlineStr">
        <is>
          <t>6 8 9 7 6 2 8 4</t>
        </is>
      </c>
      <c r="G377" s="8" t="n">
        <v>50</v>
      </c>
      <c r="H377" s="8" t="n">
        <v>52</v>
      </c>
      <c r="I377" s="8" t="inlineStr">
        <is>
          <t>false</t>
        </is>
      </c>
      <c r="J377" s="8" t="n">
        <v>2</v>
      </c>
      <c r="K377" s="8" t="n">
        <v>3276</v>
      </c>
      <c r="L377" s="8" t="n">
        <v>8</v>
      </c>
      <c r="M377" s="10" t="n">
        <v>1.8</v>
      </c>
      <c r="N377" s="8" t="n">
        <v>1</v>
      </c>
      <c r="O377" s="8" t="n">
        <v>9</v>
      </c>
      <c r="P377" s="6">
        <f>LOWER(TRIM(C377))</f>
        <v/>
      </c>
      <c r="Q377" s="6">
        <f>IF(I377="true",1,0)</f>
        <v/>
      </c>
      <c r="R377" s="7">
        <f>IF(K377="","",K377)</f>
        <v/>
      </c>
      <c r="S377" s="6">
        <f>IF(OR(H377="",H377&lt;8,H377&gt;72),"",J377)</f>
        <v/>
      </c>
      <c r="T377" s="6">
        <f>IF(OR(P377="lyrics",P377="instrumental"),1,IF(AND(P377="none",COUNTIFS($B$2:$B$479,B377,$P$2:$P$479,"none")&gt;=3),1,0))</f>
        <v/>
      </c>
    </row>
    <row r="378">
      <c r="A378" s="3" t="n">
        <v>131</v>
      </c>
      <c r="B378" s="4" t="inlineStr">
        <is>
          <t>Deelnemer 2</t>
        </is>
      </c>
      <c r="C378" s="4" t="inlineStr">
        <is>
          <t>instrumental</t>
        </is>
      </c>
      <c r="D378" s="4" t="inlineStr">
        <is>
          <t>2026-10-14T12:32:49.904Z</t>
        </is>
      </c>
      <c r="E378" s="3" t="n">
        <v>1</v>
      </c>
      <c r="F378" s="4" t="inlineStr">
        <is>
          <t>7 6 1 5 1 9 4 9</t>
        </is>
      </c>
      <c r="G378" s="3" t="n">
        <v>42</v>
      </c>
      <c r="H378" s="3" t="n">
        <v>36</v>
      </c>
      <c r="I378" s="3" t="inlineStr">
        <is>
          <t>false</t>
        </is>
      </c>
      <c r="J378" s="3" t="n">
        <v>6</v>
      </c>
      <c r="K378" s="3" t="n">
        <v>5786</v>
      </c>
      <c r="L378" s="3" t="n">
        <v>8</v>
      </c>
      <c r="M378" s="5" t="n">
        <v>1.8</v>
      </c>
      <c r="N378" s="3" t="n">
        <v>1</v>
      </c>
      <c r="O378" s="3" t="n">
        <v>9</v>
      </c>
      <c r="P378" s="6">
        <f>LOWER(TRIM(C378))</f>
        <v/>
      </c>
      <c r="Q378" s="6">
        <f>IF(I378="true",1,0)</f>
        <v/>
      </c>
      <c r="R378" s="7">
        <f>IF(K378="","",K378)</f>
        <v/>
      </c>
      <c r="S378" s="6">
        <f>IF(OR(H378="",H378&lt;8,H378&gt;72),"",J378)</f>
        <v/>
      </c>
      <c r="T378" s="6">
        <f>IF(OR(P378="lyrics",P378="instrumental"),1,IF(AND(P378="none",COUNTIFS($B$2:$B$479,B378,$P$2:$P$479,"none")&gt;=3),1,0))</f>
        <v/>
      </c>
    </row>
    <row r="379">
      <c r="A379" s="8" t="n">
        <v>131</v>
      </c>
      <c r="B379" s="9" t="inlineStr">
        <is>
          <t>Deelnemer 2</t>
        </is>
      </c>
      <c r="C379" s="9" t="inlineStr">
        <is>
          <t>instrumental</t>
        </is>
      </c>
      <c r="D379" s="9" t="inlineStr">
        <is>
          <t>2026-10-14T12:32:49.904Z</t>
        </is>
      </c>
      <c r="E379" s="8" t="n">
        <v>2</v>
      </c>
      <c r="F379" s="9" t="inlineStr">
        <is>
          <t>2 9 1 1 6 8 4 2</t>
        </is>
      </c>
      <c r="G379" s="8" t="n">
        <v>33</v>
      </c>
      <c r="H379" s="8" t="n">
        <v>34</v>
      </c>
      <c r="I379" s="8" t="inlineStr">
        <is>
          <t>false</t>
        </is>
      </c>
      <c r="J379" s="8" t="n">
        <v>1</v>
      </c>
      <c r="K379" s="8" t="n">
        <v>5559</v>
      </c>
      <c r="L379" s="8" t="n">
        <v>8</v>
      </c>
      <c r="M379" s="10" t="n">
        <v>1.8</v>
      </c>
      <c r="N379" s="8" t="n">
        <v>1</v>
      </c>
      <c r="O379" s="8" t="n">
        <v>9</v>
      </c>
      <c r="P379" s="6">
        <f>LOWER(TRIM(C379))</f>
        <v/>
      </c>
      <c r="Q379" s="6">
        <f>IF(I379="true",1,0)</f>
        <v/>
      </c>
      <c r="R379" s="7">
        <f>IF(K379="","",K379)</f>
        <v/>
      </c>
      <c r="S379" s="6">
        <f>IF(OR(H379="",H379&lt;8,H379&gt;72),"",J379)</f>
        <v/>
      </c>
      <c r="T379" s="6">
        <f>IF(OR(P379="lyrics",P379="instrumental"),1,IF(AND(P379="none",COUNTIFS($B$2:$B$479,B379,$P$2:$P$479,"none")&gt;=3),1,0))</f>
        <v/>
      </c>
    </row>
    <row r="380">
      <c r="A380" s="3" t="n">
        <v>131</v>
      </c>
      <c r="B380" s="4" t="inlineStr">
        <is>
          <t>Deelnemer 2</t>
        </is>
      </c>
      <c r="C380" s="4" t="inlineStr">
        <is>
          <t>instrumental</t>
        </is>
      </c>
      <c r="D380" s="4" t="inlineStr">
        <is>
          <t>2026-10-14T12:32:49.904Z</t>
        </is>
      </c>
      <c r="E380" s="3" t="n">
        <v>3</v>
      </c>
      <c r="F380" s="4" t="inlineStr">
        <is>
          <t>5 7 9 7 6 5 3 8</t>
        </is>
      </c>
      <c r="G380" s="3" t="n">
        <v>50</v>
      </c>
      <c r="H380" s="3" t="n">
        <v>45</v>
      </c>
      <c r="I380" s="3" t="inlineStr">
        <is>
          <t>false</t>
        </is>
      </c>
      <c r="J380" s="3" t="n">
        <v>5</v>
      </c>
      <c r="K380" s="3" t="n">
        <v>6798</v>
      </c>
      <c r="L380" s="3" t="n">
        <v>8</v>
      </c>
      <c r="M380" s="5" t="n">
        <v>1.8</v>
      </c>
      <c r="N380" s="3" t="n">
        <v>1</v>
      </c>
      <c r="O380" s="3" t="n">
        <v>9</v>
      </c>
      <c r="P380" s="6">
        <f>LOWER(TRIM(C380))</f>
        <v/>
      </c>
      <c r="Q380" s="6">
        <f>IF(I380="true",1,0)</f>
        <v/>
      </c>
      <c r="R380" s="7">
        <f>IF(K380="","",K380)</f>
        <v/>
      </c>
      <c r="S380" s="6">
        <f>IF(OR(H380="",H380&lt;8,H380&gt;72),"",J380)</f>
        <v/>
      </c>
      <c r="T380" s="6">
        <f>IF(OR(P380="lyrics",P380="instrumental"),1,IF(AND(P380="none",COUNTIFS($B$2:$B$479,B380,$P$2:$P$479,"none")&gt;=3),1,0))</f>
        <v/>
      </c>
    </row>
    <row r="381">
      <c r="A381" s="8" t="n">
        <v>132</v>
      </c>
      <c r="B381" s="9" t="inlineStr">
        <is>
          <t>Deelnemer 2</t>
        </is>
      </c>
      <c r="C381" s="9" t="inlineStr">
        <is>
          <t>lyrics</t>
        </is>
      </c>
      <c r="D381" s="9" t="inlineStr">
        <is>
          <t>2026-10-14T12:35:06.760Z</t>
        </is>
      </c>
      <c r="E381" s="8" t="n">
        <v>1</v>
      </c>
      <c r="F381" s="9" t="inlineStr">
        <is>
          <t>4 5 5 1 9 1 3 5</t>
        </is>
      </c>
      <c r="G381" s="8" t="n">
        <v>33</v>
      </c>
      <c r="H381" s="8" t="n">
        <v>33</v>
      </c>
      <c r="I381" s="8" t="inlineStr">
        <is>
          <t>true</t>
        </is>
      </c>
      <c r="J381" s="8" t="n">
        <v>0</v>
      </c>
      <c r="K381" s="8" t="n">
        <v>7147</v>
      </c>
      <c r="L381" s="8" t="n">
        <v>8</v>
      </c>
      <c r="M381" s="10" t="n">
        <v>1.8</v>
      </c>
      <c r="N381" s="8" t="n">
        <v>1</v>
      </c>
      <c r="O381" s="8" t="n">
        <v>9</v>
      </c>
      <c r="P381" s="6">
        <f>LOWER(TRIM(C381))</f>
        <v/>
      </c>
      <c r="Q381" s="6">
        <f>IF(I381="true",1,0)</f>
        <v/>
      </c>
      <c r="R381" s="7">
        <f>IF(K381="","",K381)</f>
        <v/>
      </c>
      <c r="S381" s="6">
        <f>IF(OR(H381="",H381&lt;8,H381&gt;72),"",J381)</f>
        <v/>
      </c>
      <c r="T381" s="6">
        <f>IF(OR(P381="lyrics",P381="instrumental"),1,IF(AND(P381="none",COUNTIFS($B$2:$B$479,B381,$P$2:$P$479,"none")&gt;=3),1,0))</f>
        <v/>
      </c>
    </row>
    <row r="382">
      <c r="A382" s="3" t="n">
        <v>132</v>
      </c>
      <c r="B382" s="4" t="inlineStr">
        <is>
          <t>Deelnemer 2</t>
        </is>
      </c>
      <c r="C382" s="4" t="inlineStr">
        <is>
          <t>lyrics</t>
        </is>
      </c>
      <c r="D382" s="4" t="inlineStr">
        <is>
          <t>2026-10-14T12:35:06.760Z</t>
        </is>
      </c>
      <c r="E382" s="3" t="n">
        <v>2</v>
      </c>
      <c r="F382" s="4" t="inlineStr">
        <is>
          <t>2 2 8 1 2 7 9 2</t>
        </is>
      </c>
      <c r="G382" s="3" t="n">
        <v>33</v>
      </c>
      <c r="H382" s="3" t="n">
        <v>35</v>
      </c>
      <c r="I382" s="3" t="inlineStr">
        <is>
          <t>false</t>
        </is>
      </c>
      <c r="J382" s="3" t="n">
        <v>2</v>
      </c>
      <c r="K382" s="3" t="n">
        <v>3946</v>
      </c>
      <c r="L382" s="3" t="n">
        <v>8</v>
      </c>
      <c r="M382" s="5" t="n">
        <v>1.8</v>
      </c>
      <c r="N382" s="3" t="n">
        <v>1</v>
      </c>
      <c r="O382" s="3" t="n">
        <v>9</v>
      </c>
      <c r="P382" s="6">
        <f>LOWER(TRIM(C382))</f>
        <v/>
      </c>
      <c r="Q382" s="6">
        <f>IF(I382="true",1,0)</f>
        <v/>
      </c>
      <c r="R382" s="7">
        <f>IF(K382="","",K382)</f>
        <v/>
      </c>
      <c r="S382" s="6">
        <f>IF(OR(H382="",H382&lt;8,H382&gt;72),"",J382)</f>
        <v/>
      </c>
      <c r="T382" s="6">
        <f>IF(OR(P382="lyrics",P382="instrumental"),1,IF(AND(P382="none",COUNTIFS($B$2:$B$479,B382,$P$2:$P$479,"none")&gt;=3),1,0))</f>
        <v/>
      </c>
    </row>
    <row r="383">
      <c r="A383" s="8" t="n">
        <v>132</v>
      </c>
      <c r="B383" s="9" t="inlineStr">
        <is>
          <t>Deelnemer 2</t>
        </is>
      </c>
      <c r="C383" s="9" t="inlineStr">
        <is>
          <t>lyrics</t>
        </is>
      </c>
      <c r="D383" s="9" t="inlineStr">
        <is>
          <t>2026-10-14T12:35:06.760Z</t>
        </is>
      </c>
      <c r="E383" s="8" t="n">
        <v>3</v>
      </c>
      <c r="F383" s="9" t="inlineStr">
        <is>
          <t>5 3 8 4 2 8 1 6</t>
        </is>
      </c>
      <c r="G383" s="8" t="n">
        <v>37</v>
      </c>
      <c r="H383" s="8" t="n">
        <v>40</v>
      </c>
      <c r="I383" s="8" t="inlineStr">
        <is>
          <t>false</t>
        </is>
      </c>
      <c r="J383" s="8" t="n">
        <v>3</v>
      </c>
      <c r="K383" s="8" t="n">
        <v>6688</v>
      </c>
      <c r="L383" s="8" t="n">
        <v>8</v>
      </c>
      <c r="M383" s="10" t="n">
        <v>1.8</v>
      </c>
      <c r="N383" s="8" t="n">
        <v>1</v>
      </c>
      <c r="O383" s="8" t="n">
        <v>9</v>
      </c>
      <c r="P383" s="6">
        <f>LOWER(TRIM(C383))</f>
        <v/>
      </c>
      <c r="Q383" s="6">
        <f>IF(I383="true",1,0)</f>
        <v/>
      </c>
      <c r="R383" s="7">
        <f>IF(K383="","",K383)</f>
        <v/>
      </c>
      <c r="S383" s="6">
        <f>IF(OR(H383="",H383&lt;8,H383&gt;72),"",J383)</f>
        <v/>
      </c>
      <c r="T383" s="6">
        <f>IF(OR(P383="lyrics",P383="instrumental"),1,IF(AND(P383="none",COUNTIFS($B$2:$B$479,B383,$P$2:$P$479,"none")&gt;=3),1,0))</f>
        <v/>
      </c>
    </row>
    <row r="384">
      <c r="A384" s="3" t="n">
        <v>133</v>
      </c>
      <c r="B384" s="4" t="inlineStr">
        <is>
          <t>Deelnemer 2</t>
        </is>
      </c>
      <c r="C384" s="4" t="inlineStr">
        <is>
          <t>lyrics</t>
        </is>
      </c>
      <c r="D384" s="4" t="inlineStr">
        <is>
          <t>2026-10-14T12:37:02.421Z</t>
        </is>
      </c>
      <c r="E384" s="3" t="n">
        <v>1</v>
      </c>
      <c r="F384" s="4" t="inlineStr">
        <is>
          <t>4 9 1 3 3 6 4 5</t>
        </is>
      </c>
      <c r="G384" s="3" t="n">
        <v>35</v>
      </c>
      <c r="H384" s="3" t="n">
        <v>35</v>
      </c>
      <c r="I384" s="3" t="inlineStr">
        <is>
          <t>true</t>
        </is>
      </c>
      <c r="J384" s="3" t="n">
        <v>0</v>
      </c>
      <c r="K384" s="3" t="n">
        <v>6181</v>
      </c>
      <c r="L384" s="3" t="n">
        <v>8</v>
      </c>
      <c r="M384" s="5" t="n">
        <v>1.8</v>
      </c>
      <c r="N384" s="3" t="n">
        <v>1</v>
      </c>
      <c r="O384" s="3" t="n">
        <v>9</v>
      </c>
      <c r="P384" s="6">
        <f>LOWER(TRIM(C384))</f>
        <v/>
      </c>
      <c r="Q384" s="6">
        <f>IF(I384="true",1,0)</f>
        <v/>
      </c>
      <c r="R384" s="7">
        <f>IF(K384="","",K384)</f>
        <v/>
      </c>
      <c r="S384" s="6">
        <f>IF(OR(H384="",H384&lt;8,H384&gt;72),"",J384)</f>
        <v/>
      </c>
      <c r="T384" s="6">
        <f>IF(OR(P384="lyrics",P384="instrumental"),1,IF(AND(P384="none",COUNTIFS($B$2:$B$479,B384,$P$2:$P$479,"none")&gt;=3),1,0))</f>
        <v/>
      </c>
    </row>
    <row r="385">
      <c r="A385" s="8" t="n">
        <v>133</v>
      </c>
      <c r="B385" s="9" t="inlineStr">
        <is>
          <t>Deelnemer 2</t>
        </is>
      </c>
      <c r="C385" s="9" t="inlineStr">
        <is>
          <t>lyrics</t>
        </is>
      </c>
      <c r="D385" s="9" t="inlineStr">
        <is>
          <t>2026-10-14T12:37:02.421Z</t>
        </is>
      </c>
      <c r="E385" s="8" t="n">
        <v>2</v>
      </c>
      <c r="F385" s="9" t="inlineStr">
        <is>
          <t>1 7 3 6 9 9 9 3</t>
        </is>
      </c>
      <c r="G385" s="8" t="n">
        <v>47</v>
      </c>
      <c r="H385" s="8" t="n">
        <v>35</v>
      </c>
      <c r="I385" s="8" t="inlineStr">
        <is>
          <t>false</t>
        </is>
      </c>
      <c r="J385" s="8" t="n">
        <v>12</v>
      </c>
      <c r="K385" s="8" t="n">
        <v>6463</v>
      </c>
      <c r="L385" s="8" t="n">
        <v>8</v>
      </c>
      <c r="M385" s="10" t="n">
        <v>1.8</v>
      </c>
      <c r="N385" s="8" t="n">
        <v>1</v>
      </c>
      <c r="O385" s="8" t="n">
        <v>9</v>
      </c>
      <c r="P385" s="6">
        <f>LOWER(TRIM(C385))</f>
        <v/>
      </c>
      <c r="Q385" s="6">
        <f>IF(I385="true",1,0)</f>
        <v/>
      </c>
      <c r="R385" s="7">
        <f>IF(K385="","",K385)</f>
        <v/>
      </c>
      <c r="S385" s="6">
        <f>IF(OR(H385="",H385&lt;8,H385&gt;72),"",J385)</f>
        <v/>
      </c>
      <c r="T385" s="6">
        <f>IF(OR(P385="lyrics",P385="instrumental"),1,IF(AND(P385="none",COUNTIFS($B$2:$B$479,B385,$P$2:$P$479,"none")&gt;=3),1,0))</f>
        <v/>
      </c>
    </row>
    <row r="386">
      <c r="A386" s="3" t="n">
        <v>133</v>
      </c>
      <c r="B386" s="4" t="inlineStr">
        <is>
          <t>Deelnemer 2</t>
        </is>
      </c>
      <c r="C386" s="4" t="inlineStr">
        <is>
          <t>lyrics</t>
        </is>
      </c>
      <c r="D386" s="4" t="inlineStr">
        <is>
          <t>2026-10-14T12:37:02.421Z</t>
        </is>
      </c>
      <c r="E386" s="3" t="n">
        <v>3</v>
      </c>
      <c r="F386" s="4" t="inlineStr">
        <is>
          <t>4 2 3 6 5 7 3 3</t>
        </is>
      </c>
      <c r="G386" s="3" t="n">
        <v>33</v>
      </c>
      <c r="H386" s="3" t="n">
        <v>33</v>
      </c>
      <c r="I386" s="3" t="inlineStr">
        <is>
          <t>true</t>
        </is>
      </c>
      <c r="J386" s="3" t="n">
        <v>0</v>
      </c>
      <c r="K386" s="3" t="n">
        <v>5320</v>
      </c>
      <c r="L386" s="3" t="n">
        <v>8</v>
      </c>
      <c r="M386" s="5" t="n">
        <v>1.8</v>
      </c>
      <c r="N386" s="3" t="n">
        <v>1</v>
      </c>
      <c r="O386" s="3" t="n">
        <v>9</v>
      </c>
      <c r="P386" s="6">
        <f>LOWER(TRIM(C386))</f>
        <v/>
      </c>
      <c r="Q386" s="6">
        <f>IF(I386="true",1,0)</f>
        <v/>
      </c>
      <c r="R386" s="7">
        <f>IF(K386="","",K386)</f>
        <v/>
      </c>
      <c r="S386" s="6">
        <f>IF(OR(H386="",H386&lt;8,H386&gt;72),"",J386)</f>
        <v/>
      </c>
      <c r="T386" s="6">
        <f>IF(OR(P386="lyrics",P386="instrumental"),1,IF(AND(P386="none",COUNTIFS($B$2:$B$479,B386,$P$2:$P$479,"none")&gt;=3),1,0))</f>
        <v/>
      </c>
    </row>
    <row r="387">
      <c r="A387" s="8" t="n">
        <v>134</v>
      </c>
      <c r="B387" s="9" t="inlineStr">
        <is>
          <t>Deelnemer 2</t>
        </is>
      </c>
      <c r="C387" s="9" t="inlineStr">
        <is>
          <t>lyrics</t>
        </is>
      </c>
      <c r="D387" s="9" t="inlineStr">
        <is>
          <t>2026-10-14T12:38:30.317Z</t>
        </is>
      </c>
      <c r="E387" s="8" t="n">
        <v>1</v>
      </c>
      <c r="F387" s="9" t="inlineStr">
        <is>
          <t>4 5 4 9 6 4 4 6</t>
        </is>
      </c>
      <c r="G387" s="8" t="n">
        <v>42</v>
      </c>
      <c r="H387" s="8" t="n">
        <v>44</v>
      </c>
      <c r="I387" s="8" t="inlineStr">
        <is>
          <t>false</t>
        </is>
      </c>
      <c r="J387" s="8" t="n">
        <v>2</v>
      </c>
      <c r="K387" s="8" t="n">
        <v>5785</v>
      </c>
      <c r="L387" s="8" t="n">
        <v>8</v>
      </c>
      <c r="M387" s="10" t="n">
        <v>1.8</v>
      </c>
      <c r="N387" s="8" t="n">
        <v>1</v>
      </c>
      <c r="O387" s="8" t="n">
        <v>9</v>
      </c>
      <c r="P387" s="6">
        <f>LOWER(TRIM(C387))</f>
        <v/>
      </c>
      <c r="Q387" s="6">
        <f>IF(I387="true",1,0)</f>
        <v/>
      </c>
      <c r="R387" s="7">
        <f>IF(K387="","",K387)</f>
        <v/>
      </c>
      <c r="S387" s="6">
        <f>IF(OR(H387="",H387&lt;8,H387&gt;72),"",J387)</f>
        <v/>
      </c>
      <c r="T387" s="6">
        <f>IF(OR(P387="lyrics",P387="instrumental"),1,IF(AND(P387="none",COUNTIFS($B$2:$B$479,B387,$P$2:$P$479,"none")&gt;=3),1,0))</f>
        <v/>
      </c>
    </row>
    <row r="388">
      <c r="A388" s="3" t="n">
        <v>134</v>
      </c>
      <c r="B388" s="4" t="inlineStr">
        <is>
          <t>Deelnemer 2</t>
        </is>
      </c>
      <c r="C388" s="4" t="inlineStr">
        <is>
          <t>lyrics</t>
        </is>
      </c>
      <c r="D388" s="4" t="inlineStr">
        <is>
          <t>2026-10-14T12:38:30.317Z</t>
        </is>
      </c>
      <c r="E388" s="3" t="n">
        <v>2</v>
      </c>
      <c r="F388" s="4" t="inlineStr">
        <is>
          <t>1 5 9 6 7 4 3 8</t>
        </is>
      </c>
      <c r="G388" s="3" t="n">
        <v>43</v>
      </c>
      <c r="H388" s="3" t="n">
        <v>34</v>
      </c>
      <c r="I388" s="3" t="inlineStr">
        <is>
          <t>false</t>
        </is>
      </c>
      <c r="J388" s="3" t="n">
        <v>9</v>
      </c>
      <c r="K388" s="3" t="n">
        <v>6984</v>
      </c>
      <c r="L388" s="3" t="n">
        <v>8</v>
      </c>
      <c r="M388" s="5" t="n">
        <v>1.8</v>
      </c>
      <c r="N388" s="3" t="n">
        <v>1</v>
      </c>
      <c r="O388" s="3" t="n">
        <v>9</v>
      </c>
      <c r="P388" s="6">
        <f>LOWER(TRIM(C388))</f>
        <v/>
      </c>
      <c r="Q388" s="6">
        <f>IF(I388="true",1,0)</f>
        <v/>
      </c>
      <c r="R388" s="7">
        <f>IF(K388="","",K388)</f>
        <v/>
      </c>
      <c r="S388" s="6">
        <f>IF(OR(H388="",H388&lt;8,H388&gt;72),"",J388)</f>
        <v/>
      </c>
      <c r="T388" s="6">
        <f>IF(OR(P388="lyrics",P388="instrumental"),1,IF(AND(P388="none",COUNTIFS($B$2:$B$479,B388,$P$2:$P$479,"none")&gt;=3),1,0))</f>
        <v/>
      </c>
    </row>
    <row r="389">
      <c r="A389" s="8" t="n">
        <v>134</v>
      </c>
      <c r="B389" s="9" t="inlineStr">
        <is>
          <t>Deelnemer 2</t>
        </is>
      </c>
      <c r="C389" s="9" t="inlineStr">
        <is>
          <t>lyrics</t>
        </is>
      </c>
      <c r="D389" s="9" t="inlineStr">
        <is>
          <t>2026-10-14T12:38:30.317Z</t>
        </is>
      </c>
      <c r="E389" s="8" t="n">
        <v>3</v>
      </c>
      <c r="F389" s="9" t="inlineStr">
        <is>
          <t>3 9 8 6 4 5 7 3</t>
        </is>
      </c>
      <c r="G389" s="8" t="n">
        <v>45</v>
      </c>
      <c r="H389" s="8" t="n">
        <v>42</v>
      </c>
      <c r="I389" s="8" t="inlineStr">
        <is>
          <t>false</t>
        </is>
      </c>
      <c r="J389" s="8" t="n">
        <v>3</v>
      </c>
      <c r="K389" s="8" t="n">
        <v>4965</v>
      </c>
      <c r="L389" s="8" t="n">
        <v>8</v>
      </c>
      <c r="M389" s="10" t="n">
        <v>1.8</v>
      </c>
      <c r="N389" s="8" t="n">
        <v>1</v>
      </c>
      <c r="O389" s="8" t="n">
        <v>9</v>
      </c>
      <c r="P389" s="6">
        <f>LOWER(TRIM(C389))</f>
        <v/>
      </c>
      <c r="Q389" s="6">
        <f>IF(I389="true",1,0)</f>
        <v/>
      </c>
      <c r="R389" s="7">
        <f>IF(K389="","",K389)</f>
        <v/>
      </c>
      <c r="S389" s="6">
        <f>IF(OR(H389="",H389&lt;8,H389&gt;72),"",J389)</f>
        <v/>
      </c>
      <c r="T389" s="6">
        <f>IF(OR(P389="lyrics",P389="instrumental"),1,IF(AND(P389="none",COUNTIFS($B$2:$B$479,B389,$P$2:$P$479,"none")&gt;=3),1,0))</f>
        <v/>
      </c>
    </row>
    <row r="390">
      <c r="A390" s="3" t="n">
        <v>135</v>
      </c>
      <c r="B390" s="4" t="inlineStr">
        <is>
          <t>Deelnemer 3</t>
        </is>
      </c>
      <c r="C390" s="4" t="inlineStr">
        <is>
          <t>lyrics</t>
        </is>
      </c>
      <c r="D390" s="4" t="inlineStr">
        <is>
          <t>2026-10-14T12:47:39.122Z</t>
        </is>
      </c>
      <c r="E390" s="3" t="n">
        <v>1</v>
      </c>
      <c r="F390" s="4" t="inlineStr">
        <is>
          <t>8 8 4 4 5 5 3 3</t>
        </is>
      </c>
      <c r="G390" s="3" t="n">
        <v>40</v>
      </c>
      <c r="H390" s="3" t="n">
        <v>40</v>
      </c>
      <c r="I390" s="3" t="inlineStr">
        <is>
          <t>true</t>
        </is>
      </c>
      <c r="J390" s="3" t="n">
        <v>0</v>
      </c>
      <c r="K390" s="3" t="n">
        <v>6058</v>
      </c>
      <c r="L390" s="3" t="n">
        <v>8</v>
      </c>
      <c r="M390" s="5" t="n">
        <v>1.8</v>
      </c>
      <c r="N390" s="3" t="n">
        <v>1</v>
      </c>
      <c r="O390" s="3" t="n">
        <v>9</v>
      </c>
      <c r="P390" s="6">
        <f>LOWER(TRIM(C390))</f>
        <v/>
      </c>
      <c r="Q390" s="6">
        <f>IF(I390="true",1,0)</f>
        <v/>
      </c>
      <c r="R390" s="7">
        <f>IF(K390="","",K390)</f>
        <v/>
      </c>
      <c r="S390" s="6">
        <f>IF(OR(H390="",H390&lt;8,H390&gt;72),"",J390)</f>
        <v/>
      </c>
      <c r="T390" s="6">
        <f>IF(OR(P390="lyrics",P390="instrumental"),1,IF(AND(P390="none",COUNTIFS($B$2:$B$479,B390,$P$2:$P$479,"none")&gt;=3),1,0))</f>
        <v/>
      </c>
    </row>
    <row r="391">
      <c r="A391" s="8" t="n">
        <v>135</v>
      </c>
      <c r="B391" s="9" t="inlineStr">
        <is>
          <t>Deelnemer 3</t>
        </is>
      </c>
      <c r="C391" s="9" t="inlineStr">
        <is>
          <t>lyrics</t>
        </is>
      </c>
      <c r="D391" s="9" t="inlineStr">
        <is>
          <t>2026-10-14T12:47:39.122Z</t>
        </is>
      </c>
      <c r="E391" s="8" t="n">
        <v>2</v>
      </c>
      <c r="F391" s="9" t="inlineStr">
        <is>
          <t>6 8 2 7 1 3 6 7</t>
        </is>
      </c>
      <c r="G391" s="8" t="n">
        <v>40</v>
      </c>
      <c r="H391" s="8" t="n">
        <v>38</v>
      </c>
      <c r="I391" s="8" t="inlineStr">
        <is>
          <t>false</t>
        </is>
      </c>
      <c r="J391" s="8" t="n">
        <v>2</v>
      </c>
      <c r="K391" s="8" t="n">
        <v>6969</v>
      </c>
      <c r="L391" s="8" t="n">
        <v>8</v>
      </c>
      <c r="M391" s="10" t="n">
        <v>1.8</v>
      </c>
      <c r="N391" s="8" t="n">
        <v>1</v>
      </c>
      <c r="O391" s="8" t="n">
        <v>9</v>
      </c>
      <c r="P391" s="6">
        <f>LOWER(TRIM(C391))</f>
        <v/>
      </c>
      <c r="Q391" s="6">
        <f>IF(I391="true",1,0)</f>
        <v/>
      </c>
      <c r="R391" s="7">
        <f>IF(K391="","",K391)</f>
        <v/>
      </c>
      <c r="S391" s="6">
        <f>IF(OR(H391="",H391&lt;8,H391&gt;72),"",J391)</f>
        <v/>
      </c>
      <c r="T391" s="6">
        <f>IF(OR(P391="lyrics",P391="instrumental"),1,IF(AND(P391="none",COUNTIFS($B$2:$B$479,B391,$P$2:$P$479,"none")&gt;=3),1,0))</f>
        <v/>
      </c>
    </row>
    <row r="392">
      <c r="A392" s="3" t="n">
        <v>135</v>
      </c>
      <c r="B392" s="4" t="inlineStr">
        <is>
          <t>Deelnemer 3</t>
        </is>
      </c>
      <c r="C392" s="4" t="inlineStr">
        <is>
          <t>lyrics</t>
        </is>
      </c>
      <c r="D392" s="4" t="inlineStr">
        <is>
          <t>2026-10-14T12:47:39.122Z</t>
        </is>
      </c>
      <c r="E392" s="3" t="n">
        <v>3</v>
      </c>
      <c r="F392" s="4" t="inlineStr">
        <is>
          <t>7 2 9 6 1 3 8 5</t>
        </is>
      </c>
      <c r="G392" s="3" t="n">
        <v>41</v>
      </c>
      <c r="H392" s="3" t="n">
        <v>41</v>
      </c>
      <c r="I392" s="3" t="inlineStr">
        <is>
          <t>true</t>
        </is>
      </c>
      <c r="J392" s="3" t="n">
        <v>0</v>
      </c>
      <c r="K392" s="3" t="n">
        <v>7073</v>
      </c>
      <c r="L392" s="3" t="n">
        <v>8</v>
      </c>
      <c r="M392" s="5" t="n">
        <v>1.8</v>
      </c>
      <c r="N392" s="3" t="n">
        <v>1</v>
      </c>
      <c r="O392" s="3" t="n">
        <v>9</v>
      </c>
      <c r="P392" s="6">
        <f>LOWER(TRIM(C392))</f>
        <v/>
      </c>
      <c r="Q392" s="6">
        <f>IF(I392="true",1,0)</f>
        <v/>
      </c>
      <c r="R392" s="7">
        <f>IF(K392="","",K392)</f>
        <v/>
      </c>
      <c r="S392" s="6">
        <f>IF(OR(H392="",H392&lt;8,H392&gt;72),"",J392)</f>
        <v/>
      </c>
      <c r="T392" s="6">
        <f>IF(OR(P392="lyrics",P392="instrumental"),1,IF(AND(P392="none",COUNTIFS($B$2:$B$479,B392,$P$2:$P$479,"none")&gt;=3),1,0))</f>
        <v/>
      </c>
    </row>
    <row r="393">
      <c r="A393" s="8" t="n">
        <v>136</v>
      </c>
      <c r="B393" s="9" t="inlineStr">
        <is>
          <t>Deelnemer 3</t>
        </is>
      </c>
      <c r="C393" s="9" t="inlineStr">
        <is>
          <t>instrumental</t>
        </is>
      </c>
      <c r="D393" s="9" t="inlineStr">
        <is>
          <t>2026-10-14T12:49:36.086Z</t>
        </is>
      </c>
      <c r="E393" s="8" t="n">
        <v>1</v>
      </c>
      <c r="F393" s="9" t="inlineStr">
        <is>
          <t>5 8 1 1 3 8 1 2</t>
        </is>
      </c>
      <c r="G393" s="8" t="n">
        <v>29</v>
      </c>
      <c r="H393" s="8" t="n">
        <v>27</v>
      </c>
      <c r="I393" s="8" t="inlineStr">
        <is>
          <t>false</t>
        </is>
      </c>
      <c r="J393" s="8" t="n">
        <v>2</v>
      </c>
      <c r="K393" s="8" t="n">
        <v>6299</v>
      </c>
      <c r="L393" s="8" t="n">
        <v>8</v>
      </c>
      <c r="M393" s="10" t="n">
        <v>1.8</v>
      </c>
      <c r="N393" s="8" t="n">
        <v>1</v>
      </c>
      <c r="O393" s="8" t="n">
        <v>9</v>
      </c>
      <c r="P393" s="6">
        <f>LOWER(TRIM(C393))</f>
        <v/>
      </c>
      <c r="Q393" s="6">
        <f>IF(I393="true",1,0)</f>
        <v/>
      </c>
      <c r="R393" s="7">
        <f>IF(K393="","",K393)</f>
        <v/>
      </c>
      <c r="S393" s="6">
        <f>IF(OR(H393="",H393&lt;8,H393&gt;72),"",J393)</f>
        <v/>
      </c>
      <c r="T393" s="6">
        <f>IF(OR(P393="lyrics",P393="instrumental"),1,IF(AND(P393="none",COUNTIFS($B$2:$B$479,B393,$P$2:$P$479,"none")&gt;=3),1,0))</f>
        <v/>
      </c>
    </row>
    <row r="394">
      <c r="A394" s="3" t="n">
        <v>136</v>
      </c>
      <c r="B394" s="4" t="inlineStr">
        <is>
          <t>Deelnemer 3</t>
        </is>
      </c>
      <c r="C394" s="4" t="inlineStr">
        <is>
          <t>instrumental</t>
        </is>
      </c>
      <c r="D394" s="4" t="inlineStr">
        <is>
          <t>2026-10-14T12:49:36.086Z</t>
        </is>
      </c>
      <c r="E394" s="3" t="n">
        <v>2</v>
      </c>
      <c r="F394" s="4" t="inlineStr">
        <is>
          <t>5 8 9 4 4 2 6 1</t>
        </is>
      </c>
      <c r="G394" s="3" t="n">
        <v>39</v>
      </c>
      <c r="H394" s="3" t="n">
        <v>38</v>
      </c>
      <c r="I394" s="3" t="inlineStr">
        <is>
          <t>false</t>
        </is>
      </c>
      <c r="J394" s="3" t="n">
        <v>1</v>
      </c>
      <c r="K394" s="3" t="n">
        <v>5622</v>
      </c>
      <c r="L394" s="3" t="n">
        <v>8</v>
      </c>
      <c r="M394" s="5" t="n">
        <v>1.8</v>
      </c>
      <c r="N394" s="3" t="n">
        <v>1</v>
      </c>
      <c r="O394" s="3" t="n">
        <v>9</v>
      </c>
      <c r="P394" s="6">
        <f>LOWER(TRIM(C394))</f>
        <v/>
      </c>
      <c r="Q394" s="6">
        <f>IF(I394="true",1,0)</f>
        <v/>
      </c>
      <c r="R394" s="7">
        <f>IF(K394="","",K394)</f>
        <v/>
      </c>
      <c r="S394" s="6">
        <f>IF(OR(H394="",H394&lt;8,H394&gt;72),"",J394)</f>
        <v/>
      </c>
      <c r="T394" s="6">
        <f>IF(OR(P394="lyrics",P394="instrumental"),1,IF(AND(P394="none",COUNTIFS($B$2:$B$479,B394,$P$2:$P$479,"none")&gt;=3),1,0))</f>
        <v/>
      </c>
    </row>
    <row r="395">
      <c r="A395" s="8" t="n">
        <v>136</v>
      </c>
      <c r="B395" s="9" t="inlineStr">
        <is>
          <t>Deelnemer 3</t>
        </is>
      </c>
      <c r="C395" s="9" t="inlineStr">
        <is>
          <t>instrumental</t>
        </is>
      </c>
      <c r="D395" s="9" t="inlineStr">
        <is>
          <t>2026-10-14T12:49:36.086Z</t>
        </is>
      </c>
      <c r="E395" s="8" t="n">
        <v>3</v>
      </c>
      <c r="F395" s="9" t="inlineStr">
        <is>
          <t>3 5 1 7 7 4 2 5</t>
        </is>
      </c>
      <c r="G395" s="8" t="n">
        <v>34</v>
      </c>
      <c r="H395" s="8" t="n">
        <v>34</v>
      </c>
      <c r="I395" s="8" t="inlineStr">
        <is>
          <t>true</t>
        </is>
      </c>
      <c r="J395" s="8" t="n">
        <v>0</v>
      </c>
      <c r="K395" s="8" t="n">
        <v>5116</v>
      </c>
      <c r="L395" s="8" t="n">
        <v>8</v>
      </c>
      <c r="M395" s="10" t="n">
        <v>1.8</v>
      </c>
      <c r="N395" s="8" t="n">
        <v>1</v>
      </c>
      <c r="O395" s="8" t="n">
        <v>9</v>
      </c>
      <c r="P395" s="6">
        <f>LOWER(TRIM(C395))</f>
        <v/>
      </c>
      <c r="Q395" s="6">
        <f>IF(I395="true",1,0)</f>
        <v/>
      </c>
      <c r="R395" s="7">
        <f>IF(K395="","",K395)</f>
        <v/>
      </c>
      <c r="S395" s="6">
        <f>IF(OR(H395="",H395&lt;8,H395&gt;72),"",J395)</f>
        <v/>
      </c>
      <c r="T395" s="6">
        <f>IF(OR(P395="lyrics",P395="instrumental"),1,IF(AND(P395="none",COUNTIFS($B$2:$B$479,B395,$P$2:$P$479,"none")&gt;=3),1,0))</f>
        <v/>
      </c>
    </row>
    <row r="396">
      <c r="A396" s="3" t="n">
        <v>137</v>
      </c>
      <c r="B396" s="4" t="inlineStr">
        <is>
          <t>Deelnemer 3</t>
        </is>
      </c>
      <c r="C396" s="4" t="inlineStr">
        <is>
          <t>lyrics</t>
        </is>
      </c>
      <c r="D396" s="4" t="inlineStr">
        <is>
          <t>2026-10-14T12:51:26.719Z</t>
        </is>
      </c>
      <c r="E396" s="3" t="n">
        <v>1</v>
      </c>
      <c r="F396" s="4" t="inlineStr">
        <is>
          <t>9 5 3 6 8 6 4 7</t>
        </is>
      </c>
      <c r="G396" s="3" t="n">
        <v>48</v>
      </c>
      <c r="H396" s="3" t="n">
        <v>43</v>
      </c>
      <c r="I396" s="3" t="inlineStr">
        <is>
          <t>false</t>
        </is>
      </c>
      <c r="J396" s="3" t="n">
        <v>5</v>
      </c>
      <c r="K396" s="3" t="n">
        <v>6213</v>
      </c>
      <c r="L396" s="3" t="n">
        <v>8</v>
      </c>
      <c r="M396" s="5" t="n">
        <v>1.8</v>
      </c>
      <c r="N396" s="3" t="n">
        <v>1</v>
      </c>
      <c r="O396" s="3" t="n">
        <v>9</v>
      </c>
      <c r="P396" s="6">
        <f>LOWER(TRIM(C396))</f>
        <v/>
      </c>
      <c r="Q396" s="6">
        <f>IF(I396="true",1,0)</f>
        <v/>
      </c>
      <c r="R396" s="7">
        <f>IF(K396="","",K396)</f>
        <v/>
      </c>
      <c r="S396" s="6">
        <f>IF(OR(H396="",H396&lt;8,H396&gt;72),"",J396)</f>
        <v/>
      </c>
      <c r="T396" s="6">
        <f>IF(OR(P396="lyrics",P396="instrumental"),1,IF(AND(P396="none",COUNTIFS($B$2:$B$479,B396,$P$2:$P$479,"none")&gt;=3),1,0))</f>
        <v/>
      </c>
    </row>
    <row r="397">
      <c r="A397" s="8" t="n">
        <v>137</v>
      </c>
      <c r="B397" s="9" t="inlineStr">
        <is>
          <t>Deelnemer 3</t>
        </is>
      </c>
      <c r="C397" s="9" t="inlineStr">
        <is>
          <t>lyrics</t>
        </is>
      </c>
      <c r="D397" s="9" t="inlineStr">
        <is>
          <t>2026-10-14T12:51:26.719Z</t>
        </is>
      </c>
      <c r="E397" s="8" t="n">
        <v>2</v>
      </c>
      <c r="F397" s="9" t="inlineStr">
        <is>
          <t>9 8 6 2 3 5 6 5</t>
        </is>
      </c>
      <c r="G397" s="8" t="n">
        <v>44</v>
      </c>
      <c r="H397" s="8" t="n">
        <v>44</v>
      </c>
      <c r="I397" s="8" t="inlineStr">
        <is>
          <t>true</t>
        </is>
      </c>
      <c r="J397" s="8" t="n">
        <v>0</v>
      </c>
      <c r="K397" s="8" t="n">
        <v>6394</v>
      </c>
      <c r="L397" s="8" t="n">
        <v>8</v>
      </c>
      <c r="M397" s="10" t="n">
        <v>1.8</v>
      </c>
      <c r="N397" s="8" t="n">
        <v>1</v>
      </c>
      <c r="O397" s="8" t="n">
        <v>9</v>
      </c>
      <c r="P397" s="6">
        <f>LOWER(TRIM(C397))</f>
        <v/>
      </c>
      <c r="Q397" s="6">
        <f>IF(I397="true",1,0)</f>
        <v/>
      </c>
      <c r="R397" s="7">
        <f>IF(K397="","",K397)</f>
        <v/>
      </c>
      <c r="S397" s="6">
        <f>IF(OR(H397="",H397&lt;8,H397&gt;72),"",J397)</f>
        <v/>
      </c>
      <c r="T397" s="6">
        <f>IF(OR(P397="lyrics",P397="instrumental"),1,IF(AND(P397="none",COUNTIFS($B$2:$B$479,B397,$P$2:$P$479,"none")&gt;=3),1,0))</f>
        <v/>
      </c>
    </row>
    <row r="398">
      <c r="A398" s="3" t="n">
        <v>137</v>
      </c>
      <c r="B398" s="4" t="inlineStr">
        <is>
          <t>Deelnemer 3</t>
        </is>
      </c>
      <c r="C398" s="4" t="inlineStr">
        <is>
          <t>lyrics</t>
        </is>
      </c>
      <c r="D398" s="4" t="inlineStr">
        <is>
          <t>2026-10-14T12:51:26.719Z</t>
        </is>
      </c>
      <c r="E398" s="3" t="n">
        <v>3</v>
      </c>
      <c r="F398" s="4" t="inlineStr">
        <is>
          <t>7 7 6 8 8 7 8 6</t>
        </is>
      </c>
      <c r="G398" s="3" t="n">
        <v>57</v>
      </c>
      <c r="H398" s="3" t="n">
        <v>52</v>
      </c>
      <c r="I398" s="3" t="inlineStr">
        <is>
          <t>false</t>
        </is>
      </c>
      <c r="J398" s="3" t="n">
        <v>5</v>
      </c>
      <c r="K398" s="3" t="n">
        <v>6525</v>
      </c>
      <c r="L398" s="3" t="n">
        <v>8</v>
      </c>
      <c r="M398" s="5" t="n">
        <v>1.8</v>
      </c>
      <c r="N398" s="3" t="n">
        <v>1</v>
      </c>
      <c r="O398" s="3" t="n">
        <v>9</v>
      </c>
      <c r="P398" s="6">
        <f>LOWER(TRIM(C398))</f>
        <v/>
      </c>
      <c r="Q398" s="6">
        <f>IF(I398="true",1,0)</f>
        <v/>
      </c>
      <c r="R398" s="7">
        <f>IF(K398="","",K398)</f>
        <v/>
      </c>
      <c r="S398" s="6">
        <f>IF(OR(H398="",H398&lt;8,H398&gt;72),"",J398)</f>
        <v/>
      </c>
      <c r="T398" s="6">
        <f>IF(OR(P398="lyrics",P398="instrumental"),1,IF(AND(P398="none",COUNTIFS($B$2:$B$479,B398,$P$2:$P$479,"none")&gt;=3),1,0))</f>
        <v/>
      </c>
    </row>
    <row r="399">
      <c r="A399" s="8" t="n">
        <v>138</v>
      </c>
      <c r="B399" s="9" t="inlineStr">
        <is>
          <t>Deelnemer 3</t>
        </is>
      </c>
      <c r="C399" s="9" t="inlineStr">
        <is>
          <t>instrumental</t>
        </is>
      </c>
      <c r="D399" s="9" t="inlineStr">
        <is>
          <t>2026-10-14T12:53:45.517Z</t>
        </is>
      </c>
      <c r="E399" s="8" t="n">
        <v>1</v>
      </c>
      <c r="F399" s="9" t="inlineStr">
        <is>
          <t>4 7 1 3 4 2 6 9</t>
        </is>
      </c>
      <c r="G399" s="8" t="n">
        <v>36</v>
      </c>
      <c r="H399" s="8" t="n">
        <v>36</v>
      </c>
      <c r="I399" s="8" t="inlineStr">
        <is>
          <t>true</t>
        </is>
      </c>
      <c r="J399" s="8" t="n">
        <v>0</v>
      </c>
      <c r="K399" s="8" t="n">
        <v>5562</v>
      </c>
      <c r="L399" s="8" t="n">
        <v>8</v>
      </c>
      <c r="M399" s="10" t="n">
        <v>1.8</v>
      </c>
      <c r="N399" s="8" t="n">
        <v>1</v>
      </c>
      <c r="O399" s="8" t="n">
        <v>9</v>
      </c>
      <c r="P399" s="6">
        <f>LOWER(TRIM(C399))</f>
        <v/>
      </c>
      <c r="Q399" s="6">
        <f>IF(I399="true",1,0)</f>
        <v/>
      </c>
      <c r="R399" s="7">
        <f>IF(K399="","",K399)</f>
        <v/>
      </c>
      <c r="S399" s="6">
        <f>IF(OR(H399="",H399&lt;8,H399&gt;72),"",J399)</f>
        <v/>
      </c>
      <c r="T399" s="6">
        <f>IF(OR(P399="lyrics",P399="instrumental"),1,IF(AND(P399="none",COUNTIFS($B$2:$B$479,B399,$P$2:$P$479,"none")&gt;=3),1,0))</f>
        <v/>
      </c>
    </row>
    <row r="400">
      <c r="A400" s="3" t="n">
        <v>138</v>
      </c>
      <c r="B400" s="4" t="inlineStr">
        <is>
          <t>Deelnemer 3</t>
        </is>
      </c>
      <c r="C400" s="4" t="inlineStr">
        <is>
          <t>instrumental</t>
        </is>
      </c>
      <c r="D400" s="4" t="inlineStr">
        <is>
          <t>2026-10-14T12:53:45.517Z</t>
        </is>
      </c>
      <c r="E400" s="3" t="n">
        <v>2</v>
      </c>
      <c r="F400" s="4" t="inlineStr">
        <is>
          <t>4 6 8 4 3 4 2 9</t>
        </is>
      </c>
      <c r="G400" s="3" t="n">
        <v>40</v>
      </c>
      <c r="H400" s="3" t="n">
        <v>40</v>
      </c>
      <c r="I400" s="3" t="inlineStr">
        <is>
          <t>true</t>
        </is>
      </c>
      <c r="J400" s="3" t="n">
        <v>0</v>
      </c>
      <c r="K400" s="3" t="n">
        <v>6227</v>
      </c>
      <c r="L400" s="3" t="n">
        <v>8</v>
      </c>
      <c r="M400" s="5" t="n">
        <v>1.8</v>
      </c>
      <c r="N400" s="3" t="n">
        <v>1</v>
      </c>
      <c r="O400" s="3" t="n">
        <v>9</v>
      </c>
      <c r="P400" s="6">
        <f>LOWER(TRIM(C400))</f>
        <v/>
      </c>
      <c r="Q400" s="6">
        <f>IF(I400="true",1,0)</f>
        <v/>
      </c>
      <c r="R400" s="7">
        <f>IF(K400="","",K400)</f>
        <v/>
      </c>
      <c r="S400" s="6">
        <f>IF(OR(H400="",H400&lt;8,H400&gt;72),"",J400)</f>
        <v/>
      </c>
      <c r="T400" s="6">
        <f>IF(OR(P400="lyrics",P400="instrumental"),1,IF(AND(P400="none",COUNTIFS($B$2:$B$479,B400,$P$2:$P$479,"none")&gt;=3),1,0))</f>
        <v/>
      </c>
    </row>
    <row r="401">
      <c r="A401" s="8" t="n">
        <v>138</v>
      </c>
      <c r="B401" s="9" t="inlineStr">
        <is>
          <t>Deelnemer 3</t>
        </is>
      </c>
      <c r="C401" s="9" t="inlineStr">
        <is>
          <t>instrumental</t>
        </is>
      </c>
      <c r="D401" s="9" t="inlineStr">
        <is>
          <t>2026-10-14T12:53:45.517Z</t>
        </is>
      </c>
      <c r="E401" s="8" t="n">
        <v>3</v>
      </c>
      <c r="F401" s="9" t="inlineStr">
        <is>
          <t>7 7 2 7 6 4 1 6</t>
        </is>
      </c>
      <c r="G401" s="8" t="n">
        <v>40</v>
      </c>
      <c r="H401" s="8" t="n">
        <v>47</v>
      </c>
      <c r="I401" s="8" t="inlineStr">
        <is>
          <t>false</t>
        </is>
      </c>
      <c r="J401" s="8" t="n">
        <v>7</v>
      </c>
      <c r="K401" s="8" t="n">
        <v>6473</v>
      </c>
      <c r="L401" s="8" t="n">
        <v>8</v>
      </c>
      <c r="M401" s="10" t="n">
        <v>1.8</v>
      </c>
      <c r="N401" s="8" t="n">
        <v>1</v>
      </c>
      <c r="O401" s="8" t="n">
        <v>9</v>
      </c>
      <c r="P401" s="6">
        <f>LOWER(TRIM(C401))</f>
        <v/>
      </c>
      <c r="Q401" s="6">
        <f>IF(I401="true",1,0)</f>
        <v/>
      </c>
      <c r="R401" s="7">
        <f>IF(K401="","",K401)</f>
        <v/>
      </c>
      <c r="S401" s="6">
        <f>IF(OR(H401="",H401&lt;8,H401&gt;72),"",J401)</f>
        <v/>
      </c>
      <c r="T401" s="6">
        <f>IF(OR(P401="lyrics",P401="instrumental"),1,IF(AND(P401="none",COUNTIFS($B$2:$B$479,B401,$P$2:$P$479,"none")&gt;=3),1,0))</f>
        <v/>
      </c>
    </row>
    <row r="402">
      <c r="A402" s="3" t="n">
        <v>139</v>
      </c>
      <c r="B402" s="4" t="inlineStr">
        <is>
          <t>Deelnemer 3</t>
        </is>
      </c>
      <c r="C402" s="4" t="inlineStr">
        <is>
          <t>lyrics</t>
        </is>
      </c>
      <c r="D402" s="4" t="inlineStr">
        <is>
          <t>2026-10-14T12:55:51.819Z</t>
        </is>
      </c>
      <c r="E402" s="3" t="n">
        <v>1</v>
      </c>
      <c r="F402" s="4" t="inlineStr">
        <is>
          <t>5 4 4 8 7 1 8 7</t>
        </is>
      </c>
      <c r="G402" s="3" t="n">
        <v>44</v>
      </c>
      <c r="H402" s="3" t="n">
        <v>44</v>
      </c>
      <c r="I402" s="3" t="inlineStr">
        <is>
          <t>true</t>
        </is>
      </c>
      <c r="J402" s="3" t="n">
        <v>0</v>
      </c>
      <c r="K402" s="3" t="n">
        <v>4664</v>
      </c>
      <c r="L402" s="3" t="n">
        <v>8</v>
      </c>
      <c r="M402" s="5" t="n">
        <v>1.8</v>
      </c>
      <c r="N402" s="3" t="n">
        <v>1</v>
      </c>
      <c r="O402" s="3" t="n">
        <v>9</v>
      </c>
      <c r="P402" s="6">
        <f>LOWER(TRIM(C402))</f>
        <v/>
      </c>
      <c r="Q402" s="6">
        <f>IF(I402="true",1,0)</f>
        <v/>
      </c>
      <c r="R402" s="7">
        <f>IF(K402="","",K402)</f>
        <v/>
      </c>
      <c r="S402" s="6">
        <f>IF(OR(H402="",H402&lt;8,H402&gt;72),"",J402)</f>
        <v/>
      </c>
      <c r="T402" s="6">
        <f>IF(OR(P402="lyrics",P402="instrumental"),1,IF(AND(P402="none",COUNTIFS($B$2:$B$479,B402,$P$2:$P$479,"none")&gt;=3),1,0))</f>
        <v/>
      </c>
    </row>
    <row r="403">
      <c r="A403" s="8" t="n">
        <v>139</v>
      </c>
      <c r="B403" s="9" t="inlineStr">
        <is>
          <t>Deelnemer 3</t>
        </is>
      </c>
      <c r="C403" s="9" t="inlineStr">
        <is>
          <t>lyrics</t>
        </is>
      </c>
      <c r="D403" s="9" t="inlineStr">
        <is>
          <t>2026-10-14T12:55:51.819Z</t>
        </is>
      </c>
      <c r="E403" s="8" t="n">
        <v>2</v>
      </c>
      <c r="F403" s="9" t="inlineStr">
        <is>
          <t>1 8 8 7 1 7 9 8</t>
        </is>
      </c>
      <c r="G403" s="8" t="n">
        <v>49</v>
      </c>
      <c r="H403" s="8" t="n">
        <v>51</v>
      </c>
      <c r="I403" s="8" t="inlineStr">
        <is>
          <t>false</t>
        </is>
      </c>
      <c r="J403" s="8" t="n">
        <v>2</v>
      </c>
      <c r="K403" s="8" t="n">
        <v>6010</v>
      </c>
      <c r="L403" s="8" t="n">
        <v>8</v>
      </c>
      <c r="M403" s="10" t="n">
        <v>1.8</v>
      </c>
      <c r="N403" s="8" t="n">
        <v>1</v>
      </c>
      <c r="O403" s="8" t="n">
        <v>9</v>
      </c>
      <c r="P403" s="6">
        <f>LOWER(TRIM(C403))</f>
        <v/>
      </c>
      <c r="Q403" s="6">
        <f>IF(I403="true",1,0)</f>
        <v/>
      </c>
      <c r="R403" s="7">
        <f>IF(K403="","",K403)</f>
        <v/>
      </c>
      <c r="S403" s="6">
        <f>IF(OR(H403="",H403&lt;8,H403&gt;72),"",J403)</f>
        <v/>
      </c>
      <c r="T403" s="6">
        <f>IF(OR(P403="lyrics",P403="instrumental"),1,IF(AND(P403="none",COUNTIFS($B$2:$B$479,B403,$P$2:$P$479,"none")&gt;=3),1,0))</f>
        <v/>
      </c>
    </row>
    <row r="404">
      <c r="A404" s="3" t="n">
        <v>139</v>
      </c>
      <c r="B404" s="4" t="inlineStr">
        <is>
          <t>Deelnemer 3</t>
        </is>
      </c>
      <c r="C404" s="4" t="inlineStr">
        <is>
          <t>lyrics</t>
        </is>
      </c>
      <c r="D404" s="4" t="inlineStr">
        <is>
          <t>2026-10-14T12:55:51.819Z</t>
        </is>
      </c>
      <c r="E404" s="3" t="n">
        <v>3</v>
      </c>
      <c r="F404" s="4" t="inlineStr">
        <is>
          <t>9 2 3 8 9 5 9 6</t>
        </is>
      </c>
      <c r="G404" s="3" t="n">
        <v>51</v>
      </c>
      <c r="H404" s="3" t="n">
        <v>51</v>
      </c>
      <c r="I404" s="3" t="inlineStr">
        <is>
          <t>true</t>
        </is>
      </c>
      <c r="J404" s="3" t="n">
        <v>0</v>
      </c>
      <c r="K404" s="3" t="n">
        <v>5627</v>
      </c>
      <c r="L404" s="3" t="n">
        <v>8</v>
      </c>
      <c r="M404" s="5" t="n">
        <v>1.8</v>
      </c>
      <c r="N404" s="3" t="n">
        <v>1</v>
      </c>
      <c r="O404" s="3" t="n">
        <v>9</v>
      </c>
      <c r="P404" s="6">
        <f>LOWER(TRIM(C404))</f>
        <v/>
      </c>
      <c r="Q404" s="6">
        <f>IF(I404="true",1,0)</f>
        <v/>
      </c>
      <c r="R404" s="7">
        <f>IF(K404="","",K404)</f>
        <v/>
      </c>
      <c r="S404" s="6">
        <f>IF(OR(H404="",H404&lt;8,H404&gt;72),"",J404)</f>
        <v/>
      </c>
      <c r="T404" s="6">
        <f>IF(OR(P404="lyrics",P404="instrumental"),1,IF(AND(P404="none",COUNTIFS($B$2:$B$479,B404,$P$2:$P$479,"none")&gt;=3),1,0))</f>
        <v/>
      </c>
    </row>
    <row r="405">
      <c r="A405" s="8" t="n">
        <v>140</v>
      </c>
      <c r="B405" s="9" t="inlineStr">
        <is>
          <t>Deelnemer 3</t>
        </is>
      </c>
      <c r="C405" s="9" t="inlineStr">
        <is>
          <t>instrumental</t>
        </is>
      </c>
      <c r="D405" s="9" t="inlineStr">
        <is>
          <t>2026-10-14T12:57:13.528Z</t>
        </is>
      </c>
      <c r="E405" s="8" t="n">
        <v>1</v>
      </c>
      <c r="F405" s="9" t="inlineStr">
        <is>
          <t>2 9 9 3 1 2 7 5</t>
        </is>
      </c>
      <c r="G405" s="8" t="n">
        <v>38</v>
      </c>
      <c r="H405" s="8" t="n">
        <v>39</v>
      </c>
      <c r="I405" s="8" t="inlineStr">
        <is>
          <t>false</t>
        </is>
      </c>
      <c r="J405" s="8" t="n">
        <v>1</v>
      </c>
      <c r="K405" s="8" t="n">
        <v>5581</v>
      </c>
      <c r="L405" s="8" t="n">
        <v>8</v>
      </c>
      <c r="M405" s="10" t="n">
        <v>1.8</v>
      </c>
      <c r="N405" s="8" t="n">
        <v>1</v>
      </c>
      <c r="O405" s="8" t="n">
        <v>9</v>
      </c>
      <c r="P405" s="6">
        <f>LOWER(TRIM(C405))</f>
        <v/>
      </c>
      <c r="Q405" s="6">
        <f>IF(I405="true",1,0)</f>
        <v/>
      </c>
      <c r="R405" s="7">
        <f>IF(K405="","",K405)</f>
        <v/>
      </c>
      <c r="S405" s="6">
        <f>IF(OR(H405="",H405&lt;8,H405&gt;72),"",J405)</f>
        <v/>
      </c>
      <c r="T405" s="6">
        <f>IF(OR(P405="lyrics",P405="instrumental"),1,IF(AND(P405="none",COUNTIFS($B$2:$B$479,B405,$P$2:$P$479,"none")&gt;=3),1,0))</f>
        <v/>
      </c>
    </row>
    <row r="406">
      <c r="A406" s="3" t="n">
        <v>140</v>
      </c>
      <c r="B406" s="4" t="inlineStr">
        <is>
          <t>Deelnemer 3</t>
        </is>
      </c>
      <c r="C406" s="4" t="inlineStr">
        <is>
          <t>instrumental</t>
        </is>
      </c>
      <c r="D406" s="4" t="inlineStr">
        <is>
          <t>2026-10-14T12:57:13.528Z</t>
        </is>
      </c>
      <c r="E406" s="3" t="n">
        <v>2</v>
      </c>
      <c r="F406" s="4" t="inlineStr">
        <is>
          <t>8 1 2 1 6 5 5 5</t>
        </is>
      </c>
      <c r="G406" s="3" t="n">
        <v>33</v>
      </c>
      <c r="H406" s="3" t="n">
        <v>33</v>
      </c>
      <c r="I406" s="3" t="inlineStr">
        <is>
          <t>true</t>
        </is>
      </c>
      <c r="J406" s="3" t="n">
        <v>0</v>
      </c>
      <c r="K406" s="3" t="n">
        <v>4129</v>
      </c>
      <c r="L406" s="3" t="n">
        <v>8</v>
      </c>
      <c r="M406" s="5" t="n">
        <v>1.8</v>
      </c>
      <c r="N406" s="3" t="n">
        <v>1</v>
      </c>
      <c r="O406" s="3" t="n">
        <v>9</v>
      </c>
      <c r="P406" s="6">
        <f>LOWER(TRIM(C406))</f>
        <v/>
      </c>
      <c r="Q406" s="6">
        <f>IF(I406="true",1,0)</f>
        <v/>
      </c>
      <c r="R406" s="7">
        <f>IF(K406="","",K406)</f>
        <v/>
      </c>
      <c r="S406" s="6">
        <f>IF(OR(H406="",H406&lt;8,H406&gt;72),"",J406)</f>
        <v/>
      </c>
      <c r="T406" s="6">
        <f>IF(OR(P406="lyrics",P406="instrumental"),1,IF(AND(P406="none",COUNTIFS($B$2:$B$479,B406,$P$2:$P$479,"none")&gt;=3),1,0))</f>
        <v/>
      </c>
    </row>
    <row r="407">
      <c r="A407" s="8" t="n">
        <v>140</v>
      </c>
      <c r="B407" s="9" t="inlineStr">
        <is>
          <t>Deelnemer 3</t>
        </is>
      </c>
      <c r="C407" s="9" t="inlineStr">
        <is>
          <t>instrumental</t>
        </is>
      </c>
      <c r="D407" s="9" t="inlineStr">
        <is>
          <t>2026-10-14T12:57:13.528Z</t>
        </is>
      </c>
      <c r="E407" s="8" t="n">
        <v>3</v>
      </c>
      <c r="F407" s="9" t="inlineStr">
        <is>
          <t>8 2 6 5 8 3 4 8</t>
        </is>
      </c>
      <c r="G407" s="8" t="n">
        <v>44</v>
      </c>
      <c r="H407" s="8" t="n">
        <v>44</v>
      </c>
      <c r="I407" s="8" t="inlineStr">
        <is>
          <t>true</t>
        </is>
      </c>
      <c r="J407" s="8" t="n">
        <v>0</v>
      </c>
      <c r="K407" s="8" t="n">
        <v>4582</v>
      </c>
      <c r="L407" s="8" t="n">
        <v>8</v>
      </c>
      <c r="M407" s="10" t="n">
        <v>1.8</v>
      </c>
      <c r="N407" s="8" t="n">
        <v>1</v>
      </c>
      <c r="O407" s="8" t="n">
        <v>9</v>
      </c>
      <c r="P407" s="6">
        <f>LOWER(TRIM(C407))</f>
        <v/>
      </c>
      <c r="Q407" s="6">
        <f>IF(I407="true",1,0)</f>
        <v/>
      </c>
      <c r="R407" s="7">
        <f>IF(K407="","",K407)</f>
        <v/>
      </c>
      <c r="S407" s="6">
        <f>IF(OR(H407="",H407&lt;8,H407&gt;72),"",J407)</f>
        <v/>
      </c>
      <c r="T407" s="6">
        <f>IF(OR(P407="lyrics",P407="instrumental"),1,IF(AND(P407="none",COUNTIFS($B$2:$B$479,B407,$P$2:$P$479,"none")&gt;=3),1,0))</f>
        <v/>
      </c>
    </row>
    <row r="408">
      <c r="A408" s="3" t="n">
        <v>141</v>
      </c>
      <c r="B408" s="4" t="inlineStr">
        <is>
          <t>Deelnemer 4</t>
        </is>
      </c>
      <c r="C408" s="4" t="inlineStr">
        <is>
          <t>instrumental</t>
        </is>
      </c>
      <c r="D408" s="4" t="inlineStr">
        <is>
          <t>2026-10-14T13:14:46.816Z</t>
        </is>
      </c>
      <c r="E408" s="3" t="n">
        <v>1</v>
      </c>
      <c r="F408" s="4" t="inlineStr">
        <is>
          <t>2 7 4 4 1 4 7 9</t>
        </is>
      </c>
      <c r="G408" s="3" t="n">
        <v>38</v>
      </c>
      <c r="H408" s="3" t="n">
        <v>38</v>
      </c>
      <c r="I408" s="3" t="inlineStr">
        <is>
          <t>true</t>
        </is>
      </c>
      <c r="J408" s="3" t="n">
        <v>0</v>
      </c>
      <c r="K408" s="3" t="n">
        <v>2353</v>
      </c>
      <c r="L408" s="3" t="n">
        <v>8</v>
      </c>
      <c r="M408" s="5" t="n">
        <v>1.8</v>
      </c>
      <c r="N408" s="3" t="n">
        <v>1</v>
      </c>
      <c r="O408" s="3" t="n">
        <v>9</v>
      </c>
      <c r="P408" s="6">
        <f>LOWER(TRIM(C408))</f>
        <v/>
      </c>
      <c r="Q408" s="6">
        <f>IF(I408="true",1,0)</f>
        <v/>
      </c>
      <c r="R408" s="7">
        <f>IF(K408="","",K408)</f>
        <v/>
      </c>
      <c r="S408" s="6">
        <f>IF(OR(H408="",H408&lt;8,H408&gt;72),"",J408)</f>
        <v/>
      </c>
      <c r="T408" s="6">
        <f>IF(OR(P408="lyrics",P408="instrumental"),1,IF(AND(P408="none",COUNTIFS($B$2:$B$479,B408,$P$2:$P$479,"none")&gt;=3),1,0))</f>
        <v/>
      </c>
    </row>
    <row r="409">
      <c r="A409" s="8" t="n">
        <v>141</v>
      </c>
      <c r="B409" s="9" t="inlineStr">
        <is>
          <t>Deelnemer 4</t>
        </is>
      </c>
      <c r="C409" s="9" t="inlineStr">
        <is>
          <t>instrumental</t>
        </is>
      </c>
      <c r="D409" s="9" t="inlineStr">
        <is>
          <t>2026-10-14T13:14:46.816Z</t>
        </is>
      </c>
      <c r="E409" s="8" t="n">
        <v>2</v>
      </c>
      <c r="F409" s="9" t="inlineStr">
        <is>
          <t>4 4 2 6 6 3 7 3</t>
        </is>
      </c>
      <c r="G409" s="8" t="n">
        <v>35</v>
      </c>
      <c r="H409" s="8" t="n">
        <v>36</v>
      </c>
      <c r="I409" s="8" t="inlineStr">
        <is>
          <t>false</t>
        </is>
      </c>
      <c r="J409" s="8" t="n">
        <v>1</v>
      </c>
      <c r="K409" s="8" t="n">
        <v>2912</v>
      </c>
      <c r="L409" s="8" t="n">
        <v>8</v>
      </c>
      <c r="M409" s="10" t="n">
        <v>1.8</v>
      </c>
      <c r="N409" s="8" t="n">
        <v>1</v>
      </c>
      <c r="O409" s="8" t="n">
        <v>9</v>
      </c>
      <c r="P409" s="6">
        <f>LOWER(TRIM(C409))</f>
        <v/>
      </c>
      <c r="Q409" s="6">
        <f>IF(I409="true",1,0)</f>
        <v/>
      </c>
      <c r="R409" s="7">
        <f>IF(K409="","",K409)</f>
        <v/>
      </c>
      <c r="S409" s="6">
        <f>IF(OR(H409="",H409&lt;8,H409&gt;72),"",J409)</f>
        <v/>
      </c>
      <c r="T409" s="6">
        <f>IF(OR(P409="lyrics",P409="instrumental"),1,IF(AND(P409="none",COUNTIFS($B$2:$B$479,B409,$P$2:$P$479,"none")&gt;=3),1,0))</f>
        <v/>
      </c>
    </row>
    <row r="410">
      <c r="A410" s="3" t="n">
        <v>141</v>
      </c>
      <c r="B410" s="4" t="inlineStr">
        <is>
          <t>Deelnemer 4</t>
        </is>
      </c>
      <c r="C410" s="4" t="inlineStr">
        <is>
          <t>instrumental</t>
        </is>
      </c>
      <c r="D410" s="4" t="inlineStr">
        <is>
          <t>2026-10-14T13:14:46.816Z</t>
        </is>
      </c>
      <c r="E410" s="3" t="n">
        <v>3</v>
      </c>
      <c r="F410" s="4" t="inlineStr">
        <is>
          <t>5 2 6 5 5 6 6 5</t>
        </is>
      </c>
      <c r="G410" s="3" t="n">
        <v>40</v>
      </c>
      <c r="H410" s="3" t="n">
        <v>40</v>
      </c>
      <c r="I410" s="3" t="inlineStr">
        <is>
          <t>true</t>
        </is>
      </c>
      <c r="J410" s="3" t="n">
        <v>0</v>
      </c>
      <c r="K410" s="3" t="n">
        <v>2539</v>
      </c>
      <c r="L410" s="3" t="n">
        <v>8</v>
      </c>
      <c r="M410" s="5" t="n">
        <v>1.8</v>
      </c>
      <c r="N410" s="3" t="n">
        <v>1</v>
      </c>
      <c r="O410" s="3" t="n">
        <v>9</v>
      </c>
      <c r="P410" s="6">
        <f>LOWER(TRIM(C410))</f>
        <v/>
      </c>
      <c r="Q410" s="6">
        <f>IF(I410="true",1,0)</f>
        <v/>
      </c>
      <c r="R410" s="7">
        <f>IF(K410="","",K410)</f>
        <v/>
      </c>
      <c r="S410" s="6">
        <f>IF(OR(H410="",H410&lt;8,H410&gt;72),"",J410)</f>
        <v/>
      </c>
      <c r="T410" s="6">
        <f>IF(OR(P410="lyrics",P410="instrumental"),1,IF(AND(P410="none",COUNTIFS($B$2:$B$479,B410,$P$2:$P$479,"none")&gt;=3),1,0))</f>
        <v/>
      </c>
    </row>
    <row r="411">
      <c r="A411" s="8" t="n">
        <v>142</v>
      </c>
      <c r="B411" s="9" t="inlineStr">
        <is>
          <t>Deelnemer 4</t>
        </is>
      </c>
      <c r="C411" s="9" t="inlineStr">
        <is>
          <t>lyrics</t>
        </is>
      </c>
      <c r="D411" s="9" t="inlineStr">
        <is>
          <t>2026-10-14T13:16:01.713Z</t>
        </is>
      </c>
      <c r="E411" s="8" t="n">
        <v>1</v>
      </c>
      <c r="F411" s="9" t="inlineStr">
        <is>
          <t>9 7 4 7 9 8 9 8</t>
        </is>
      </c>
      <c r="G411" s="8" t="n">
        <v>61</v>
      </c>
      <c r="H411" s="8" t="n">
        <v>60</v>
      </c>
      <c r="I411" s="8" t="inlineStr">
        <is>
          <t>false</t>
        </is>
      </c>
      <c r="J411" s="8" t="n">
        <v>1</v>
      </c>
      <c r="K411" s="8" t="n">
        <v>6794</v>
      </c>
      <c r="L411" s="8" t="n">
        <v>8</v>
      </c>
      <c r="M411" s="10" t="n">
        <v>1.8</v>
      </c>
      <c r="N411" s="8" t="n">
        <v>1</v>
      </c>
      <c r="O411" s="8" t="n">
        <v>9</v>
      </c>
      <c r="P411" s="6">
        <f>LOWER(TRIM(C411))</f>
        <v/>
      </c>
      <c r="Q411" s="6">
        <f>IF(I411="true",1,0)</f>
        <v/>
      </c>
      <c r="R411" s="7">
        <f>IF(K411="","",K411)</f>
        <v/>
      </c>
      <c r="S411" s="6">
        <f>IF(OR(H411="",H411&lt;8,H411&gt;72),"",J411)</f>
        <v/>
      </c>
      <c r="T411" s="6">
        <f>IF(OR(P411="lyrics",P411="instrumental"),1,IF(AND(P411="none",COUNTIFS($B$2:$B$479,B411,$P$2:$P$479,"none")&gt;=3),1,0))</f>
        <v/>
      </c>
    </row>
    <row r="412">
      <c r="A412" s="3" t="n">
        <v>142</v>
      </c>
      <c r="B412" s="4" t="inlineStr">
        <is>
          <t>Deelnemer 4</t>
        </is>
      </c>
      <c r="C412" s="4" t="inlineStr">
        <is>
          <t>lyrics</t>
        </is>
      </c>
      <c r="D412" s="4" t="inlineStr">
        <is>
          <t>2026-10-14T13:16:01.713Z</t>
        </is>
      </c>
      <c r="E412" s="3" t="n">
        <v>2</v>
      </c>
      <c r="F412" s="4" t="inlineStr">
        <is>
          <t>3 2 3 6 4 9 3 8</t>
        </is>
      </c>
      <c r="G412" s="3" t="n">
        <v>38</v>
      </c>
      <c r="H412" s="3" t="n">
        <v>37</v>
      </c>
      <c r="I412" s="3" t="inlineStr">
        <is>
          <t>false</t>
        </is>
      </c>
      <c r="J412" s="3" t="n">
        <v>1</v>
      </c>
      <c r="K412" s="3" t="n">
        <v>3265</v>
      </c>
      <c r="L412" s="3" t="n">
        <v>8</v>
      </c>
      <c r="M412" s="5" t="n">
        <v>1.8</v>
      </c>
      <c r="N412" s="3" t="n">
        <v>1</v>
      </c>
      <c r="O412" s="3" t="n">
        <v>9</v>
      </c>
      <c r="P412" s="6">
        <f>LOWER(TRIM(C412))</f>
        <v/>
      </c>
      <c r="Q412" s="6">
        <f>IF(I412="true",1,0)</f>
        <v/>
      </c>
      <c r="R412" s="7">
        <f>IF(K412="","",K412)</f>
        <v/>
      </c>
      <c r="S412" s="6">
        <f>IF(OR(H412="",H412&lt;8,H412&gt;72),"",J412)</f>
        <v/>
      </c>
      <c r="T412" s="6">
        <f>IF(OR(P412="lyrics",P412="instrumental"),1,IF(AND(P412="none",COUNTIFS($B$2:$B$479,B412,$P$2:$P$479,"none")&gt;=3),1,0))</f>
        <v/>
      </c>
    </row>
    <row r="413">
      <c r="A413" s="8" t="n">
        <v>142</v>
      </c>
      <c r="B413" s="9" t="inlineStr">
        <is>
          <t>Deelnemer 4</t>
        </is>
      </c>
      <c r="C413" s="9" t="inlineStr">
        <is>
          <t>lyrics</t>
        </is>
      </c>
      <c r="D413" s="9" t="inlineStr">
        <is>
          <t>2026-10-14T13:16:01.713Z</t>
        </is>
      </c>
      <c r="E413" s="8" t="n">
        <v>3</v>
      </c>
      <c r="F413" s="9" t="inlineStr">
        <is>
          <t>9 8 8 7 4 5 5 1</t>
        </is>
      </c>
      <c r="G413" s="8" t="n">
        <v>47</v>
      </c>
      <c r="H413" s="8" t="n">
        <v>43</v>
      </c>
      <c r="I413" s="8" t="inlineStr">
        <is>
          <t>false</t>
        </is>
      </c>
      <c r="J413" s="8" t="n">
        <v>4</v>
      </c>
      <c r="K413" s="8" t="n">
        <v>5409</v>
      </c>
      <c r="L413" s="8" t="n">
        <v>8</v>
      </c>
      <c r="M413" s="10" t="n">
        <v>1.8</v>
      </c>
      <c r="N413" s="8" t="n">
        <v>1</v>
      </c>
      <c r="O413" s="8" t="n">
        <v>9</v>
      </c>
      <c r="P413" s="6">
        <f>LOWER(TRIM(C413))</f>
        <v/>
      </c>
      <c r="Q413" s="6">
        <f>IF(I413="true",1,0)</f>
        <v/>
      </c>
      <c r="R413" s="7">
        <f>IF(K413="","",K413)</f>
        <v/>
      </c>
      <c r="S413" s="6">
        <f>IF(OR(H413="",H413&lt;8,H413&gt;72),"",J413)</f>
        <v/>
      </c>
      <c r="T413" s="6">
        <f>IF(OR(P413="lyrics",P413="instrumental"),1,IF(AND(P413="none",COUNTIFS($B$2:$B$479,B413,$P$2:$P$479,"none")&gt;=3),1,0))</f>
        <v/>
      </c>
    </row>
    <row r="414">
      <c r="A414" s="3" t="n">
        <v>143</v>
      </c>
      <c r="B414" s="4" t="inlineStr">
        <is>
          <t>Deelnemer 4</t>
        </is>
      </c>
      <c r="C414" s="4" t="inlineStr">
        <is>
          <t>instrumental</t>
        </is>
      </c>
      <c r="D414" s="4" t="inlineStr">
        <is>
          <t>2026-10-14T13:17:25.469Z</t>
        </is>
      </c>
      <c r="E414" s="3" t="n">
        <v>1</v>
      </c>
      <c r="F414" s="4" t="inlineStr">
        <is>
          <t>1 4 7 8 5 6 6 7</t>
        </is>
      </c>
      <c r="G414" s="3" t="n">
        <v>44</v>
      </c>
      <c r="H414" s="3" t="n">
        <v>48</v>
      </c>
      <c r="I414" s="3" t="inlineStr">
        <is>
          <t>false</t>
        </is>
      </c>
      <c r="J414" s="3" t="n">
        <v>4</v>
      </c>
      <c r="K414" s="3" t="n">
        <v>4343</v>
      </c>
      <c r="L414" s="3" t="n">
        <v>8</v>
      </c>
      <c r="M414" s="5" t="n">
        <v>1.8</v>
      </c>
      <c r="N414" s="3" t="n">
        <v>1</v>
      </c>
      <c r="O414" s="3" t="n">
        <v>9</v>
      </c>
      <c r="P414" s="6">
        <f>LOWER(TRIM(C414))</f>
        <v/>
      </c>
      <c r="Q414" s="6">
        <f>IF(I414="true",1,0)</f>
        <v/>
      </c>
      <c r="R414" s="7">
        <f>IF(K414="","",K414)</f>
        <v/>
      </c>
      <c r="S414" s="6">
        <f>IF(OR(H414="",H414&lt;8,H414&gt;72),"",J414)</f>
        <v/>
      </c>
      <c r="T414" s="6">
        <f>IF(OR(P414="lyrics",P414="instrumental"),1,IF(AND(P414="none",COUNTIFS($B$2:$B$479,B414,$P$2:$P$479,"none")&gt;=3),1,0))</f>
        <v/>
      </c>
    </row>
    <row r="415">
      <c r="A415" s="8" t="n">
        <v>143</v>
      </c>
      <c r="B415" s="9" t="inlineStr">
        <is>
          <t>Deelnemer 4</t>
        </is>
      </c>
      <c r="C415" s="9" t="inlineStr">
        <is>
          <t>instrumental</t>
        </is>
      </c>
      <c r="D415" s="9" t="inlineStr">
        <is>
          <t>2026-10-14T13:17:25.469Z</t>
        </is>
      </c>
      <c r="E415" s="8" t="n">
        <v>2</v>
      </c>
      <c r="F415" s="9" t="inlineStr">
        <is>
          <t>8 9 9 5 6 8 7 3</t>
        </is>
      </c>
      <c r="G415" s="8" t="n">
        <v>55</v>
      </c>
      <c r="H415" s="8" t="n">
        <v>46</v>
      </c>
      <c r="I415" s="8" t="inlineStr">
        <is>
          <t>false</t>
        </is>
      </c>
      <c r="J415" s="8" t="n">
        <v>9</v>
      </c>
      <c r="K415" s="8" t="n">
        <v>2596</v>
      </c>
      <c r="L415" s="8" t="n">
        <v>8</v>
      </c>
      <c r="M415" s="10" t="n">
        <v>1.8</v>
      </c>
      <c r="N415" s="8" t="n">
        <v>1</v>
      </c>
      <c r="O415" s="8" t="n">
        <v>9</v>
      </c>
      <c r="P415" s="6">
        <f>LOWER(TRIM(C415))</f>
        <v/>
      </c>
      <c r="Q415" s="6">
        <f>IF(I415="true",1,0)</f>
        <v/>
      </c>
      <c r="R415" s="7">
        <f>IF(K415="","",K415)</f>
        <v/>
      </c>
      <c r="S415" s="6">
        <f>IF(OR(H415="",H415&lt;8,H415&gt;72),"",J415)</f>
        <v/>
      </c>
      <c r="T415" s="6">
        <f>IF(OR(P415="lyrics",P415="instrumental"),1,IF(AND(P415="none",COUNTIFS($B$2:$B$479,B415,$P$2:$P$479,"none")&gt;=3),1,0))</f>
        <v/>
      </c>
    </row>
    <row r="416">
      <c r="A416" s="3" t="n">
        <v>143</v>
      </c>
      <c r="B416" s="4" t="inlineStr">
        <is>
          <t>Deelnemer 4</t>
        </is>
      </c>
      <c r="C416" s="4" t="inlineStr">
        <is>
          <t>instrumental</t>
        </is>
      </c>
      <c r="D416" s="4" t="inlineStr">
        <is>
          <t>2026-10-14T13:17:25.469Z</t>
        </is>
      </c>
      <c r="E416" s="3" t="n">
        <v>3</v>
      </c>
      <c r="F416" s="4" t="inlineStr">
        <is>
          <t>4 1 9 7 4 9 9 8</t>
        </is>
      </c>
      <c r="G416" s="3" t="n">
        <v>51</v>
      </c>
      <c r="H416" s="3" t="n">
        <v>56</v>
      </c>
      <c r="I416" s="3" t="inlineStr">
        <is>
          <t>false</t>
        </is>
      </c>
      <c r="J416" s="3" t="n">
        <v>5</v>
      </c>
      <c r="K416" s="3" t="n">
        <v>4688</v>
      </c>
      <c r="L416" s="3" t="n">
        <v>8</v>
      </c>
      <c r="M416" s="5" t="n">
        <v>1.8</v>
      </c>
      <c r="N416" s="3" t="n">
        <v>1</v>
      </c>
      <c r="O416" s="3" t="n">
        <v>9</v>
      </c>
      <c r="P416" s="6">
        <f>LOWER(TRIM(C416))</f>
        <v/>
      </c>
      <c r="Q416" s="6">
        <f>IF(I416="true",1,0)</f>
        <v/>
      </c>
      <c r="R416" s="7">
        <f>IF(K416="","",K416)</f>
        <v/>
      </c>
      <c r="S416" s="6">
        <f>IF(OR(H416="",H416&lt;8,H416&gt;72),"",J416)</f>
        <v/>
      </c>
      <c r="T416" s="6">
        <f>IF(OR(P416="lyrics",P416="instrumental"),1,IF(AND(P416="none",COUNTIFS($B$2:$B$479,B416,$P$2:$P$479,"none")&gt;=3),1,0))</f>
        <v/>
      </c>
    </row>
    <row r="417">
      <c r="A417" s="8" t="n">
        <v>144</v>
      </c>
      <c r="B417" s="9" t="inlineStr">
        <is>
          <t>Deelnemer 4</t>
        </is>
      </c>
      <c r="C417" s="9" t="inlineStr">
        <is>
          <t>instrumental</t>
        </is>
      </c>
      <c r="D417" s="9" t="inlineStr">
        <is>
          <t>2026-10-14T13:21:10.637Z</t>
        </is>
      </c>
      <c r="E417" s="8" t="n">
        <v>1</v>
      </c>
      <c r="F417" s="9" t="inlineStr">
        <is>
          <t>6 3 2 2 5 2 8 4</t>
        </is>
      </c>
      <c r="G417" s="8" t="n">
        <v>32</v>
      </c>
      <c r="H417" s="8" t="n">
        <v>32</v>
      </c>
      <c r="I417" s="8" t="inlineStr">
        <is>
          <t>true</t>
        </is>
      </c>
      <c r="J417" s="8" t="n">
        <v>0</v>
      </c>
      <c r="K417" s="8" t="n">
        <v>1794</v>
      </c>
      <c r="L417" s="8" t="n">
        <v>8</v>
      </c>
      <c r="M417" s="10" t="n">
        <v>1.8</v>
      </c>
      <c r="N417" s="8" t="n">
        <v>1</v>
      </c>
      <c r="O417" s="8" t="n">
        <v>9</v>
      </c>
      <c r="P417" s="6">
        <f>LOWER(TRIM(C417))</f>
        <v/>
      </c>
      <c r="Q417" s="6">
        <f>IF(I417="true",1,0)</f>
        <v/>
      </c>
      <c r="R417" s="7">
        <f>IF(K417="","",K417)</f>
        <v/>
      </c>
      <c r="S417" s="6">
        <f>IF(OR(H417="",H417&lt;8,H417&gt;72),"",J417)</f>
        <v/>
      </c>
      <c r="T417" s="6">
        <f>IF(OR(P417="lyrics",P417="instrumental"),1,IF(AND(P417="none",COUNTIFS($B$2:$B$479,B417,$P$2:$P$479,"none")&gt;=3),1,0))</f>
        <v/>
      </c>
    </row>
    <row r="418">
      <c r="A418" s="3" t="n">
        <v>144</v>
      </c>
      <c r="B418" s="4" t="inlineStr">
        <is>
          <t>Deelnemer 4</t>
        </is>
      </c>
      <c r="C418" s="4" t="inlineStr">
        <is>
          <t>instrumental</t>
        </is>
      </c>
      <c r="D418" s="4" t="inlineStr">
        <is>
          <t>2026-10-14T13:21:10.637Z</t>
        </is>
      </c>
      <c r="E418" s="3" t="n">
        <v>2</v>
      </c>
      <c r="F418" s="4" t="inlineStr">
        <is>
          <t>9 5 3 9 4 7 1 5</t>
        </is>
      </c>
      <c r="G418" s="3" t="n">
        <v>43</v>
      </c>
      <c r="H418" s="3" t="n">
        <v>43</v>
      </c>
      <c r="I418" s="3" t="inlineStr">
        <is>
          <t>true</t>
        </is>
      </c>
      <c r="J418" s="3" t="n">
        <v>0</v>
      </c>
      <c r="K418" s="3" t="n">
        <v>1476</v>
      </c>
      <c r="L418" s="3" t="n">
        <v>8</v>
      </c>
      <c r="M418" s="5" t="n">
        <v>1.8</v>
      </c>
      <c r="N418" s="3" t="n">
        <v>1</v>
      </c>
      <c r="O418" s="3" t="n">
        <v>9</v>
      </c>
      <c r="P418" s="6">
        <f>LOWER(TRIM(C418))</f>
        <v/>
      </c>
      <c r="Q418" s="6">
        <f>IF(I418="true",1,0)</f>
        <v/>
      </c>
      <c r="R418" s="7">
        <f>IF(K418="","",K418)</f>
        <v/>
      </c>
      <c r="S418" s="6">
        <f>IF(OR(H418="",H418&lt;8,H418&gt;72),"",J418)</f>
        <v/>
      </c>
      <c r="T418" s="6">
        <f>IF(OR(P418="lyrics",P418="instrumental"),1,IF(AND(P418="none",COUNTIFS($B$2:$B$479,B418,$P$2:$P$479,"none")&gt;=3),1,0))</f>
        <v/>
      </c>
    </row>
    <row r="419">
      <c r="A419" s="8" t="n">
        <v>144</v>
      </c>
      <c r="B419" s="9" t="inlineStr">
        <is>
          <t>Deelnemer 4</t>
        </is>
      </c>
      <c r="C419" s="9" t="inlineStr">
        <is>
          <t>instrumental</t>
        </is>
      </c>
      <c r="D419" s="9" t="inlineStr">
        <is>
          <t>2026-10-14T13:21:10.637Z</t>
        </is>
      </c>
      <c r="E419" s="8" t="n">
        <v>3</v>
      </c>
      <c r="F419" s="9" t="inlineStr">
        <is>
          <t>7 4 9 2 7 1 9 9</t>
        </is>
      </c>
      <c r="G419" s="8" t="n">
        <v>48</v>
      </c>
      <c r="H419" s="8" t="n">
        <v>48</v>
      </c>
      <c r="I419" s="8" t="inlineStr">
        <is>
          <t>true</t>
        </is>
      </c>
      <c r="J419" s="8" t="n">
        <v>0</v>
      </c>
      <c r="K419" s="8" t="n">
        <v>3933</v>
      </c>
      <c r="L419" s="8" t="n">
        <v>8</v>
      </c>
      <c r="M419" s="10" t="n">
        <v>1.8</v>
      </c>
      <c r="N419" s="8" t="n">
        <v>1</v>
      </c>
      <c r="O419" s="8" t="n">
        <v>9</v>
      </c>
      <c r="P419" s="6">
        <f>LOWER(TRIM(C419))</f>
        <v/>
      </c>
      <c r="Q419" s="6">
        <f>IF(I419="true",1,0)</f>
        <v/>
      </c>
      <c r="R419" s="7">
        <f>IF(K419="","",K419)</f>
        <v/>
      </c>
      <c r="S419" s="6">
        <f>IF(OR(H419="",H419&lt;8,H419&gt;72),"",J419)</f>
        <v/>
      </c>
      <c r="T419" s="6">
        <f>IF(OR(P419="lyrics",P419="instrumental"),1,IF(AND(P419="none",COUNTIFS($B$2:$B$479,B419,$P$2:$P$479,"none")&gt;=3),1,0))</f>
        <v/>
      </c>
    </row>
    <row r="420">
      <c r="A420" s="3" t="n">
        <v>145</v>
      </c>
      <c r="B420" s="4" t="inlineStr">
        <is>
          <t>Deelnemer 4</t>
        </is>
      </c>
      <c r="C420" s="4" t="inlineStr">
        <is>
          <t>lyrics</t>
        </is>
      </c>
      <c r="D420" s="4" t="inlineStr">
        <is>
          <t>2026-10-14T13:22:18.936Z</t>
        </is>
      </c>
      <c r="E420" s="3" t="n">
        <v>1</v>
      </c>
      <c r="F420" s="4" t="inlineStr">
        <is>
          <t>7 5 1 3 8 2 4 6</t>
        </is>
      </c>
      <c r="G420" s="3" t="n">
        <v>36</v>
      </c>
      <c r="H420" s="3" t="n">
        <v>36</v>
      </c>
      <c r="I420" s="3" t="inlineStr">
        <is>
          <t>true</t>
        </is>
      </c>
      <c r="J420" s="3" t="n">
        <v>0</v>
      </c>
      <c r="K420" s="3" t="n">
        <v>2645</v>
      </c>
      <c r="L420" s="3" t="n">
        <v>8</v>
      </c>
      <c r="M420" s="5" t="n">
        <v>1.8</v>
      </c>
      <c r="N420" s="3" t="n">
        <v>1</v>
      </c>
      <c r="O420" s="3" t="n">
        <v>9</v>
      </c>
      <c r="P420" s="6">
        <f>LOWER(TRIM(C420))</f>
        <v/>
      </c>
      <c r="Q420" s="6">
        <f>IF(I420="true",1,0)</f>
        <v/>
      </c>
      <c r="R420" s="7">
        <f>IF(K420="","",K420)</f>
        <v/>
      </c>
      <c r="S420" s="6">
        <f>IF(OR(H420="",H420&lt;8,H420&gt;72),"",J420)</f>
        <v/>
      </c>
      <c r="T420" s="6">
        <f>IF(OR(P420="lyrics",P420="instrumental"),1,IF(AND(P420="none",COUNTIFS($B$2:$B$479,B420,$P$2:$P$479,"none")&gt;=3),1,0))</f>
        <v/>
      </c>
    </row>
    <row r="421">
      <c r="A421" s="8" t="n">
        <v>145</v>
      </c>
      <c r="B421" s="9" t="inlineStr">
        <is>
          <t>Deelnemer 4</t>
        </is>
      </c>
      <c r="C421" s="9" t="inlineStr">
        <is>
          <t>lyrics</t>
        </is>
      </c>
      <c r="D421" s="9" t="inlineStr">
        <is>
          <t>2026-10-14T13:22:18.936Z</t>
        </is>
      </c>
      <c r="E421" s="8" t="n">
        <v>2</v>
      </c>
      <c r="F421" s="9" t="inlineStr">
        <is>
          <t>9 3 2 8 2 5 8 5</t>
        </is>
      </c>
      <c r="G421" s="8" t="n">
        <v>42</v>
      </c>
      <c r="H421" s="8" t="n">
        <v>46</v>
      </c>
      <c r="I421" s="8" t="inlineStr">
        <is>
          <t>false</t>
        </is>
      </c>
      <c r="J421" s="8" t="n">
        <v>4</v>
      </c>
      <c r="K421" s="8" t="n">
        <v>1763</v>
      </c>
      <c r="L421" s="8" t="n">
        <v>8</v>
      </c>
      <c r="M421" s="10" t="n">
        <v>1.8</v>
      </c>
      <c r="N421" s="8" t="n">
        <v>1</v>
      </c>
      <c r="O421" s="8" t="n">
        <v>9</v>
      </c>
      <c r="P421" s="6">
        <f>LOWER(TRIM(C421))</f>
        <v/>
      </c>
      <c r="Q421" s="6">
        <f>IF(I421="true",1,0)</f>
        <v/>
      </c>
      <c r="R421" s="7">
        <f>IF(K421="","",K421)</f>
        <v/>
      </c>
      <c r="S421" s="6">
        <f>IF(OR(H421="",H421&lt;8,H421&gt;72),"",J421)</f>
        <v/>
      </c>
      <c r="T421" s="6">
        <f>IF(OR(P421="lyrics",P421="instrumental"),1,IF(AND(P421="none",COUNTIFS($B$2:$B$479,B421,$P$2:$P$479,"none")&gt;=3),1,0))</f>
        <v/>
      </c>
    </row>
    <row r="422">
      <c r="A422" s="3" t="n">
        <v>145</v>
      </c>
      <c r="B422" s="4" t="inlineStr">
        <is>
          <t>Deelnemer 4</t>
        </is>
      </c>
      <c r="C422" s="4" t="inlineStr">
        <is>
          <t>lyrics</t>
        </is>
      </c>
      <c r="D422" s="4" t="inlineStr">
        <is>
          <t>2026-10-14T13:22:18.936Z</t>
        </is>
      </c>
      <c r="E422" s="3" t="n">
        <v>3</v>
      </c>
      <c r="F422" s="4" t="inlineStr">
        <is>
          <t>9 7 7 9 4 9 1 1</t>
        </is>
      </c>
      <c r="G422" s="3" t="n">
        <v>47</v>
      </c>
      <c r="H422" s="3" t="n">
        <v>38</v>
      </c>
      <c r="I422" s="3" t="inlineStr">
        <is>
          <t>false</t>
        </is>
      </c>
      <c r="J422" s="3" t="n">
        <v>9</v>
      </c>
      <c r="K422" s="3" t="n">
        <v>5557</v>
      </c>
      <c r="L422" s="3" t="n">
        <v>8</v>
      </c>
      <c r="M422" s="5" t="n">
        <v>1.8</v>
      </c>
      <c r="N422" s="3" t="n">
        <v>1</v>
      </c>
      <c r="O422" s="3" t="n">
        <v>9</v>
      </c>
      <c r="P422" s="6">
        <f>LOWER(TRIM(C422))</f>
        <v/>
      </c>
      <c r="Q422" s="6">
        <f>IF(I422="true",1,0)</f>
        <v/>
      </c>
      <c r="R422" s="7">
        <f>IF(K422="","",K422)</f>
        <v/>
      </c>
      <c r="S422" s="6">
        <f>IF(OR(H422="",H422&lt;8,H422&gt;72),"",J422)</f>
        <v/>
      </c>
      <c r="T422" s="6">
        <f>IF(OR(P422="lyrics",P422="instrumental"),1,IF(AND(P422="none",COUNTIFS($B$2:$B$479,B422,$P$2:$P$479,"none")&gt;=3),1,0))</f>
        <v/>
      </c>
    </row>
    <row r="423">
      <c r="A423" s="8" t="n">
        <v>146</v>
      </c>
      <c r="B423" s="9" t="inlineStr">
        <is>
          <t>Deelnemer 4</t>
        </is>
      </c>
      <c r="C423" s="9" t="inlineStr">
        <is>
          <t>lyrics</t>
        </is>
      </c>
      <c r="D423" s="9" t="inlineStr">
        <is>
          <t>2026-10-14T13:23:17.393Z</t>
        </is>
      </c>
      <c r="E423" s="8" t="n">
        <v>1</v>
      </c>
      <c r="F423" s="9" t="inlineStr">
        <is>
          <t>8 6 8 4 2 7 6 6</t>
        </is>
      </c>
      <c r="G423" s="8" t="n">
        <v>47</v>
      </c>
      <c r="H423" s="8" t="n">
        <v>43</v>
      </c>
      <c r="I423" s="8" t="inlineStr">
        <is>
          <t>false</t>
        </is>
      </c>
      <c r="J423" s="8" t="n">
        <v>4</v>
      </c>
      <c r="K423" s="8" t="n">
        <v>2598</v>
      </c>
      <c r="L423" s="8" t="n">
        <v>8</v>
      </c>
      <c r="M423" s="10" t="n">
        <v>1.8</v>
      </c>
      <c r="N423" s="8" t="n">
        <v>1</v>
      </c>
      <c r="O423" s="8" t="n">
        <v>9</v>
      </c>
      <c r="P423" s="6">
        <f>LOWER(TRIM(C423))</f>
        <v/>
      </c>
      <c r="Q423" s="6">
        <f>IF(I423="true",1,0)</f>
        <v/>
      </c>
      <c r="R423" s="7">
        <f>IF(K423="","",K423)</f>
        <v/>
      </c>
      <c r="S423" s="6">
        <f>IF(OR(H423="",H423&lt;8,H423&gt;72),"",J423)</f>
        <v/>
      </c>
      <c r="T423" s="6">
        <f>IF(OR(P423="lyrics",P423="instrumental"),1,IF(AND(P423="none",COUNTIFS($B$2:$B$479,B423,$P$2:$P$479,"none")&gt;=3),1,0))</f>
        <v/>
      </c>
    </row>
    <row r="424">
      <c r="A424" s="3" t="n">
        <v>146</v>
      </c>
      <c r="B424" s="4" t="inlineStr">
        <is>
          <t>Deelnemer 4</t>
        </is>
      </c>
      <c r="C424" s="4" t="inlineStr">
        <is>
          <t>lyrics</t>
        </is>
      </c>
      <c r="D424" s="4" t="inlineStr">
        <is>
          <t>2026-10-14T13:23:17.393Z</t>
        </is>
      </c>
      <c r="E424" s="3" t="n">
        <v>2</v>
      </c>
      <c r="F424" s="4" t="inlineStr">
        <is>
          <t>7 2 5 4 1 3 4 5</t>
        </is>
      </c>
      <c r="G424" s="3" t="n">
        <v>31</v>
      </c>
      <c r="H424" s="3" t="n">
        <v>31</v>
      </c>
      <c r="I424" s="3" t="inlineStr">
        <is>
          <t>true</t>
        </is>
      </c>
      <c r="J424" s="3" t="n">
        <v>0</v>
      </c>
      <c r="K424" s="3" t="n">
        <v>1923</v>
      </c>
      <c r="L424" s="3" t="n">
        <v>8</v>
      </c>
      <c r="M424" s="5" t="n">
        <v>1.8</v>
      </c>
      <c r="N424" s="3" t="n">
        <v>1</v>
      </c>
      <c r="O424" s="3" t="n">
        <v>9</v>
      </c>
      <c r="P424" s="6">
        <f>LOWER(TRIM(C424))</f>
        <v/>
      </c>
      <c r="Q424" s="6">
        <f>IF(I424="true",1,0)</f>
        <v/>
      </c>
      <c r="R424" s="7">
        <f>IF(K424="","",K424)</f>
        <v/>
      </c>
      <c r="S424" s="6">
        <f>IF(OR(H424="",H424&lt;8,H424&gt;72),"",J424)</f>
        <v/>
      </c>
      <c r="T424" s="6">
        <f>IF(OR(P424="lyrics",P424="instrumental"),1,IF(AND(P424="none",COUNTIFS($B$2:$B$479,B424,$P$2:$P$479,"none")&gt;=3),1,0))</f>
        <v/>
      </c>
    </row>
    <row r="425">
      <c r="A425" s="8" t="n">
        <v>146</v>
      </c>
      <c r="B425" s="9" t="inlineStr">
        <is>
          <t>Deelnemer 4</t>
        </is>
      </c>
      <c r="C425" s="9" t="inlineStr">
        <is>
          <t>lyrics</t>
        </is>
      </c>
      <c r="D425" s="9" t="inlineStr">
        <is>
          <t>2026-10-14T13:23:17.393Z</t>
        </is>
      </c>
      <c r="E425" s="8" t="n">
        <v>3</v>
      </c>
      <c r="F425" s="9" t="inlineStr">
        <is>
          <t>2 4 2 2 5 1 6 4</t>
        </is>
      </c>
      <c r="G425" s="8" t="n">
        <v>26</v>
      </c>
      <c r="H425" s="8" t="n">
        <v>26</v>
      </c>
      <c r="I425" s="8" t="inlineStr">
        <is>
          <t>true</t>
        </is>
      </c>
      <c r="J425" s="8" t="n">
        <v>0</v>
      </c>
      <c r="K425" s="8" t="n">
        <v>2451</v>
      </c>
      <c r="L425" s="8" t="n">
        <v>8</v>
      </c>
      <c r="M425" s="10" t="n">
        <v>1.8</v>
      </c>
      <c r="N425" s="8" t="n">
        <v>1</v>
      </c>
      <c r="O425" s="8" t="n">
        <v>9</v>
      </c>
      <c r="P425" s="6">
        <f>LOWER(TRIM(C425))</f>
        <v/>
      </c>
      <c r="Q425" s="6">
        <f>IF(I425="true",1,0)</f>
        <v/>
      </c>
      <c r="R425" s="7">
        <f>IF(K425="","",K425)</f>
        <v/>
      </c>
      <c r="S425" s="6">
        <f>IF(OR(H425="",H425&lt;8,H425&gt;72),"",J425)</f>
        <v/>
      </c>
      <c r="T425" s="6">
        <f>IF(OR(P425="lyrics",P425="instrumental"),1,IF(AND(P425="none",COUNTIFS($B$2:$B$479,B425,$P$2:$P$479,"none")&gt;=3),1,0))</f>
        <v/>
      </c>
    </row>
    <row r="426">
      <c r="A426" s="3" t="n">
        <v>147</v>
      </c>
      <c r="B426" s="4" t="inlineStr">
        <is>
          <t>Deelnemer 5</t>
        </is>
      </c>
      <c r="C426" s="4" t="inlineStr">
        <is>
          <t>instrumental</t>
        </is>
      </c>
      <c r="D426" s="4" t="inlineStr">
        <is>
          <t>2026-10-14T13:24:34.355Z</t>
        </is>
      </c>
      <c r="E426" s="3" t="n">
        <v>1</v>
      </c>
      <c r="F426" s="4" t="inlineStr">
        <is>
          <t>5 5 9 7 2 5 1 1</t>
        </is>
      </c>
      <c r="G426" s="3" t="n">
        <v>35</v>
      </c>
      <c r="H426" s="3" t="n">
        <v>35</v>
      </c>
      <c r="I426" s="3" t="inlineStr">
        <is>
          <t>true</t>
        </is>
      </c>
      <c r="J426" s="3" t="n">
        <v>0</v>
      </c>
      <c r="K426" s="3" t="n">
        <v>2183</v>
      </c>
      <c r="L426" s="3" t="n">
        <v>8</v>
      </c>
      <c r="M426" s="5" t="n">
        <v>1.8</v>
      </c>
      <c r="N426" s="3" t="n">
        <v>1</v>
      </c>
      <c r="O426" s="3" t="n">
        <v>9</v>
      </c>
      <c r="P426" s="6">
        <f>LOWER(TRIM(C426))</f>
        <v/>
      </c>
      <c r="Q426" s="6">
        <f>IF(I426="true",1,0)</f>
        <v/>
      </c>
      <c r="R426" s="7">
        <f>IF(K426="","",K426)</f>
        <v/>
      </c>
      <c r="S426" s="6">
        <f>IF(OR(H426="",H426&lt;8,H426&gt;72),"",J426)</f>
        <v/>
      </c>
      <c r="T426" s="6">
        <f>IF(OR(P426="lyrics",P426="instrumental"),1,IF(AND(P426="none",COUNTIFS($B$2:$B$479,B426,$P$2:$P$479,"none")&gt;=3),1,0))</f>
        <v/>
      </c>
    </row>
    <row r="427">
      <c r="A427" s="8" t="n">
        <v>147</v>
      </c>
      <c r="B427" s="9" t="inlineStr">
        <is>
          <t>Deelnemer 5</t>
        </is>
      </c>
      <c r="C427" s="9" t="inlineStr">
        <is>
          <t>instrumental</t>
        </is>
      </c>
      <c r="D427" s="9" t="inlineStr">
        <is>
          <t>2026-10-14T13:24:34.355Z</t>
        </is>
      </c>
      <c r="E427" s="8" t="n">
        <v>2</v>
      </c>
      <c r="F427" s="9" t="inlineStr">
        <is>
          <t>5 3 5 6 1 4 6 8</t>
        </is>
      </c>
      <c r="G427" s="8" t="n">
        <v>38</v>
      </c>
      <c r="H427" s="8" t="n">
        <v>38</v>
      </c>
      <c r="I427" s="8" t="inlineStr">
        <is>
          <t>true</t>
        </is>
      </c>
      <c r="J427" s="8" t="n">
        <v>0</v>
      </c>
      <c r="K427" s="8" t="n">
        <v>2245</v>
      </c>
      <c r="L427" s="8" t="n">
        <v>8</v>
      </c>
      <c r="M427" s="10" t="n">
        <v>1.8</v>
      </c>
      <c r="N427" s="8" t="n">
        <v>1</v>
      </c>
      <c r="O427" s="8" t="n">
        <v>9</v>
      </c>
      <c r="P427" s="6">
        <f>LOWER(TRIM(C427))</f>
        <v/>
      </c>
      <c r="Q427" s="6">
        <f>IF(I427="true",1,0)</f>
        <v/>
      </c>
      <c r="R427" s="7">
        <f>IF(K427="","",K427)</f>
        <v/>
      </c>
      <c r="S427" s="6">
        <f>IF(OR(H427="",H427&lt;8,H427&gt;72),"",J427)</f>
        <v/>
      </c>
      <c r="T427" s="6">
        <f>IF(OR(P427="lyrics",P427="instrumental"),1,IF(AND(P427="none",COUNTIFS($B$2:$B$479,B427,$P$2:$P$479,"none")&gt;=3),1,0))</f>
        <v/>
      </c>
    </row>
    <row r="428">
      <c r="A428" s="3" t="n">
        <v>147</v>
      </c>
      <c r="B428" s="4" t="inlineStr">
        <is>
          <t>Deelnemer 5</t>
        </is>
      </c>
      <c r="C428" s="4" t="inlineStr">
        <is>
          <t>instrumental</t>
        </is>
      </c>
      <c r="D428" s="4" t="inlineStr">
        <is>
          <t>2026-10-14T13:24:34.355Z</t>
        </is>
      </c>
      <c r="E428" s="3" t="n">
        <v>3</v>
      </c>
      <c r="F428" s="4" t="inlineStr">
        <is>
          <t>1 3 6 5 4 1 1 1</t>
        </is>
      </c>
      <c r="G428" s="3" t="n">
        <v>22</v>
      </c>
      <c r="H428" s="3" t="n">
        <v>22</v>
      </c>
      <c r="I428" s="3" t="inlineStr">
        <is>
          <t>true</t>
        </is>
      </c>
      <c r="J428" s="3" t="n">
        <v>0</v>
      </c>
      <c r="K428" s="3" t="n">
        <v>1804</v>
      </c>
      <c r="L428" s="3" t="n">
        <v>8</v>
      </c>
      <c r="M428" s="5" t="n">
        <v>1.8</v>
      </c>
      <c r="N428" s="3" t="n">
        <v>1</v>
      </c>
      <c r="O428" s="3" t="n">
        <v>9</v>
      </c>
      <c r="P428" s="6">
        <f>LOWER(TRIM(C428))</f>
        <v/>
      </c>
      <c r="Q428" s="6">
        <f>IF(I428="true",1,0)</f>
        <v/>
      </c>
      <c r="R428" s="7">
        <f>IF(K428="","",K428)</f>
        <v/>
      </c>
      <c r="S428" s="6">
        <f>IF(OR(H428="",H428&lt;8,H428&gt;72),"",J428)</f>
        <v/>
      </c>
      <c r="T428" s="6">
        <f>IF(OR(P428="lyrics",P428="instrumental"),1,IF(AND(P428="none",COUNTIFS($B$2:$B$479,B428,$P$2:$P$479,"none")&gt;=3),1,0))</f>
        <v/>
      </c>
    </row>
    <row r="429">
      <c r="A429" s="8" t="n">
        <v>148</v>
      </c>
      <c r="B429" s="9" t="inlineStr">
        <is>
          <t>Deelnemer 5</t>
        </is>
      </c>
      <c r="C429" s="9" t="inlineStr">
        <is>
          <t>instrumental</t>
        </is>
      </c>
      <c r="D429" s="9" t="inlineStr">
        <is>
          <t>2026-10-14T13:25:33.838Z</t>
        </is>
      </c>
      <c r="E429" s="8" t="n">
        <v>1</v>
      </c>
      <c r="F429" s="9" t="inlineStr">
        <is>
          <t>9 2 4 5 2 6 6 5</t>
        </is>
      </c>
      <c r="G429" s="8" t="n">
        <v>39</v>
      </c>
      <c r="H429" s="8" t="n">
        <v>39</v>
      </c>
      <c r="I429" s="8" t="inlineStr">
        <is>
          <t>true</t>
        </is>
      </c>
      <c r="J429" s="8" t="n">
        <v>0</v>
      </c>
      <c r="K429" s="8" t="n">
        <v>2415</v>
      </c>
      <c r="L429" s="8" t="n">
        <v>8</v>
      </c>
      <c r="M429" s="10" t="n">
        <v>1.8</v>
      </c>
      <c r="N429" s="8" t="n">
        <v>1</v>
      </c>
      <c r="O429" s="8" t="n">
        <v>9</v>
      </c>
      <c r="P429" s="6">
        <f>LOWER(TRIM(C429))</f>
        <v/>
      </c>
      <c r="Q429" s="6">
        <f>IF(I429="true",1,0)</f>
        <v/>
      </c>
      <c r="R429" s="7">
        <f>IF(K429="","",K429)</f>
        <v/>
      </c>
      <c r="S429" s="6">
        <f>IF(OR(H429="",H429&lt;8,H429&gt;72),"",J429)</f>
        <v/>
      </c>
      <c r="T429" s="6">
        <f>IF(OR(P429="lyrics",P429="instrumental"),1,IF(AND(P429="none",COUNTIFS($B$2:$B$479,B429,$P$2:$P$479,"none")&gt;=3),1,0))</f>
        <v/>
      </c>
    </row>
    <row r="430">
      <c r="A430" s="3" t="n">
        <v>148</v>
      </c>
      <c r="B430" s="4" t="inlineStr">
        <is>
          <t>Deelnemer 5</t>
        </is>
      </c>
      <c r="C430" s="4" t="inlineStr">
        <is>
          <t>instrumental</t>
        </is>
      </c>
      <c r="D430" s="4" t="inlineStr">
        <is>
          <t>2026-10-14T13:25:33.838Z</t>
        </is>
      </c>
      <c r="E430" s="3" t="n">
        <v>2</v>
      </c>
      <c r="F430" s="4" t="inlineStr">
        <is>
          <t>2 6 2 5 8 9 9 4</t>
        </is>
      </c>
      <c r="G430" s="3" t="n">
        <v>45</v>
      </c>
      <c r="H430" s="3" t="n">
        <v>45</v>
      </c>
      <c r="I430" s="3" t="inlineStr">
        <is>
          <t>true</t>
        </is>
      </c>
      <c r="J430" s="3" t="n">
        <v>0</v>
      </c>
      <c r="K430" s="3" t="n">
        <v>2651</v>
      </c>
      <c r="L430" s="3" t="n">
        <v>8</v>
      </c>
      <c r="M430" s="5" t="n">
        <v>1.8</v>
      </c>
      <c r="N430" s="3" t="n">
        <v>1</v>
      </c>
      <c r="O430" s="3" t="n">
        <v>9</v>
      </c>
      <c r="P430" s="6">
        <f>LOWER(TRIM(C430))</f>
        <v/>
      </c>
      <c r="Q430" s="6">
        <f>IF(I430="true",1,0)</f>
        <v/>
      </c>
      <c r="R430" s="7">
        <f>IF(K430="","",K430)</f>
        <v/>
      </c>
      <c r="S430" s="6">
        <f>IF(OR(H430="",H430&lt;8,H430&gt;72),"",J430)</f>
        <v/>
      </c>
      <c r="T430" s="6">
        <f>IF(OR(P430="lyrics",P430="instrumental"),1,IF(AND(P430="none",COUNTIFS($B$2:$B$479,B430,$P$2:$P$479,"none")&gt;=3),1,0))</f>
        <v/>
      </c>
    </row>
    <row r="431">
      <c r="A431" s="8" t="n">
        <v>148</v>
      </c>
      <c r="B431" s="9" t="inlineStr">
        <is>
          <t>Deelnemer 5</t>
        </is>
      </c>
      <c r="C431" s="9" t="inlineStr">
        <is>
          <t>instrumental</t>
        </is>
      </c>
      <c r="D431" s="9" t="inlineStr">
        <is>
          <t>2026-10-14T13:25:33.838Z</t>
        </is>
      </c>
      <c r="E431" s="8" t="n">
        <v>3</v>
      </c>
      <c r="F431" s="9" t="inlineStr">
        <is>
          <t>7 6 6 3 2 2 3 2</t>
        </is>
      </c>
      <c r="G431" s="8" t="n">
        <v>31</v>
      </c>
      <c r="H431" s="8" t="n">
        <v>30</v>
      </c>
      <c r="I431" s="8" t="inlineStr">
        <is>
          <t>false</t>
        </is>
      </c>
      <c r="J431" s="8" t="n">
        <v>1</v>
      </c>
      <c r="K431" s="8" t="n">
        <v>2448</v>
      </c>
      <c r="L431" s="8" t="n">
        <v>8</v>
      </c>
      <c r="M431" s="10" t="n">
        <v>1.8</v>
      </c>
      <c r="N431" s="8" t="n">
        <v>1</v>
      </c>
      <c r="O431" s="8" t="n">
        <v>9</v>
      </c>
      <c r="P431" s="6">
        <f>LOWER(TRIM(C431))</f>
        <v/>
      </c>
      <c r="Q431" s="6">
        <f>IF(I431="true",1,0)</f>
        <v/>
      </c>
      <c r="R431" s="7">
        <f>IF(K431="","",K431)</f>
        <v/>
      </c>
      <c r="S431" s="6">
        <f>IF(OR(H431="",H431&lt;8,H431&gt;72),"",J431)</f>
        <v/>
      </c>
      <c r="T431" s="6">
        <f>IF(OR(P431="lyrics",P431="instrumental"),1,IF(AND(P431="none",COUNTIFS($B$2:$B$479,B431,$P$2:$P$479,"none")&gt;=3),1,0))</f>
        <v/>
      </c>
    </row>
    <row r="432">
      <c r="A432" s="3" t="n">
        <v>149</v>
      </c>
      <c r="B432" s="4" t="inlineStr">
        <is>
          <t>Deelnemer 5</t>
        </is>
      </c>
      <c r="C432" s="4" t="inlineStr">
        <is>
          <t>lyrics</t>
        </is>
      </c>
      <c r="D432" s="4" t="inlineStr">
        <is>
          <t>2026-10-14T13:26:32.184Z</t>
        </is>
      </c>
      <c r="E432" s="3" t="n">
        <v>1</v>
      </c>
      <c r="F432" s="4" t="inlineStr">
        <is>
          <t>1 7 2 7 7 1 1 8</t>
        </is>
      </c>
      <c r="G432" s="3" t="n">
        <v>34</v>
      </c>
      <c r="H432" s="3" t="n">
        <v>34</v>
      </c>
      <c r="I432" s="3" t="inlineStr">
        <is>
          <t>true</t>
        </is>
      </c>
      <c r="J432" s="3" t="n">
        <v>0</v>
      </c>
      <c r="K432" s="3" t="n">
        <v>2354</v>
      </c>
      <c r="L432" s="3" t="n">
        <v>8</v>
      </c>
      <c r="M432" s="5" t="n">
        <v>1.8</v>
      </c>
      <c r="N432" s="3" t="n">
        <v>1</v>
      </c>
      <c r="O432" s="3" t="n">
        <v>9</v>
      </c>
      <c r="P432" s="6">
        <f>LOWER(TRIM(C432))</f>
        <v/>
      </c>
      <c r="Q432" s="6">
        <f>IF(I432="true",1,0)</f>
        <v/>
      </c>
      <c r="R432" s="7">
        <f>IF(K432="","",K432)</f>
        <v/>
      </c>
      <c r="S432" s="6">
        <f>IF(OR(H432="",H432&lt;8,H432&gt;72),"",J432)</f>
        <v/>
      </c>
      <c r="T432" s="6">
        <f>IF(OR(P432="lyrics",P432="instrumental"),1,IF(AND(P432="none",COUNTIFS($B$2:$B$479,B432,$P$2:$P$479,"none")&gt;=3),1,0))</f>
        <v/>
      </c>
    </row>
    <row r="433">
      <c r="A433" s="8" t="n">
        <v>149</v>
      </c>
      <c r="B433" s="9" t="inlineStr">
        <is>
          <t>Deelnemer 5</t>
        </is>
      </c>
      <c r="C433" s="9" t="inlineStr">
        <is>
          <t>lyrics</t>
        </is>
      </c>
      <c r="D433" s="9" t="inlineStr">
        <is>
          <t>2026-10-14T13:26:32.184Z</t>
        </is>
      </c>
      <c r="E433" s="8" t="n">
        <v>2</v>
      </c>
      <c r="F433" s="9" t="inlineStr">
        <is>
          <t>3 7 2 8 1 2 9 9</t>
        </is>
      </c>
      <c r="G433" s="8" t="n">
        <v>41</v>
      </c>
      <c r="H433" s="8" t="n">
        <v>48</v>
      </c>
      <c r="I433" s="8" t="inlineStr">
        <is>
          <t>false</t>
        </is>
      </c>
      <c r="J433" s="8" t="n">
        <v>7</v>
      </c>
      <c r="K433" s="8" t="n">
        <v>2365</v>
      </c>
      <c r="L433" s="8" t="n">
        <v>8</v>
      </c>
      <c r="M433" s="10" t="n">
        <v>1.8</v>
      </c>
      <c r="N433" s="8" t="n">
        <v>1</v>
      </c>
      <c r="O433" s="8" t="n">
        <v>9</v>
      </c>
      <c r="P433" s="6">
        <f>LOWER(TRIM(C433))</f>
        <v/>
      </c>
      <c r="Q433" s="6">
        <f>IF(I433="true",1,0)</f>
        <v/>
      </c>
      <c r="R433" s="7">
        <f>IF(K433="","",K433)</f>
        <v/>
      </c>
      <c r="S433" s="6">
        <f>IF(OR(H433="",H433&lt;8,H433&gt;72),"",J433)</f>
        <v/>
      </c>
      <c r="T433" s="6">
        <f>IF(OR(P433="lyrics",P433="instrumental"),1,IF(AND(P433="none",COUNTIFS($B$2:$B$479,B433,$P$2:$P$479,"none")&gt;=3),1,0))</f>
        <v/>
      </c>
    </row>
    <row r="434">
      <c r="A434" s="3" t="n">
        <v>149</v>
      </c>
      <c r="B434" s="4" t="inlineStr">
        <is>
          <t>Deelnemer 5</t>
        </is>
      </c>
      <c r="C434" s="4" t="inlineStr">
        <is>
          <t>lyrics</t>
        </is>
      </c>
      <c r="D434" s="4" t="inlineStr">
        <is>
          <t>2026-10-14T13:26:32.184Z</t>
        </is>
      </c>
      <c r="E434" s="3" t="n">
        <v>3</v>
      </c>
      <c r="F434" s="4" t="inlineStr">
        <is>
          <t>5 2 9 4 7 5 1 1</t>
        </is>
      </c>
      <c r="G434" s="3" t="n">
        <v>34</v>
      </c>
      <c r="H434" s="3" t="n">
        <v>35</v>
      </c>
      <c r="I434" s="3" t="inlineStr">
        <is>
          <t>false</t>
        </is>
      </c>
      <c r="J434" s="3" t="n">
        <v>1</v>
      </c>
      <c r="K434" s="3" t="n">
        <v>1640</v>
      </c>
      <c r="L434" s="3" t="n">
        <v>8</v>
      </c>
      <c r="M434" s="5" t="n">
        <v>1.8</v>
      </c>
      <c r="N434" s="3" t="n">
        <v>1</v>
      </c>
      <c r="O434" s="3" t="n">
        <v>9</v>
      </c>
      <c r="P434" s="6">
        <f>LOWER(TRIM(C434))</f>
        <v/>
      </c>
      <c r="Q434" s="6">
        <f>IF(I434="true",1,0)</f>
        <v/>
      </c>
      <c r="R434" s="7">
        <f>IF(K434="","",K434)</f>
        <v/>
      </c>
      <c r="S434" s="6">
        <f>IF(OR(H434="",H434&lt;8,H434&gt;72),"",J434)</f>
        <v/>
      </c>
      <c r="T434" s="6">
        <f>IF(OR(P434="lyrics",P434="instrumental"),1,IF(AND(P434="none",COUNTIFS($B$2:$B$479,B434,$P$2:$P$479,"none")&gt;=3),1,0))</f>
        <v/>
      </c>
    </row>
    <row r="435">
      <c r="A435" s="8" t="n">
        <v>150</v>
      </c>
      <c r="B435" s="9" t="inlineStr">
        <is>
          <t>Deelnemer 5</t>
        </is>
      </c>
      <c r="C435" s="9" t="inlineStr">
        <is>
          <t>lyrics</t>
        </is>
      </c>
      <c r="D435" s="9" t="inlineStr">
        <is>
          <t>2026-10-14T13:27:33.149Z</t>
        </is>
      </c>
      <c r="E435" s="8" t="n">
        <v>1</v>
      </c>
      <c r="F435" s="9" t="inlineStr">
        <is>
          <t>8 2 6 1 3 5 8 2</t>
        </is>
      </c>
      <c r="G435" s="8" t="n">
        <v>35</v>
      </c>
      <c r="H435" s="8" t="n">
        <v>35</v>
      </c>
      <c r="I435" s="8" t="inlineStr">
        <is>
          <t>true</t>
        </is>
      </c>
      <c r="J435" s="8" t="n">
        <v>0</v>
      </c>
      <c r="K435" s="8" t="n">
        <v>1983</v>
      </c>
      <c r="L435" s="8" t="n">
        <v>8</v>
      </c>
      <c r="M435" s="10" t="n">
        <v>1.8</v>
      </c>
      <c r="N435" s="8" t="n">
        <v>1</v>
      </c>
      <c r="O435" s="8" t="n">
        <v>9</v>
      </c>
      <c r="P435" s="6">
        <f>LOWER(TRIM(C435))</f>
        <v/>
      </c>
      <c r="Q435" s="6">
        <f>IF(I435="true",1,0)</f>
        <v/>
      </c>
      <c r="R435" s="7">
        <f>IF(K435="","",K435)</f>
        <v/>
      </c>
      <c r="S435" s="6">
        <f>IF(OR(H435="",H435&lt;8,H435&gt;72),"",J435)</f>
        <v/>
      </c>
      <c r="T435" s="6">
        <f>IF(OR(P435="lyrics",P435="instrumental"),1,IF(AND(P435="none",COUNTIFS($B$2:$B$479,B435,$P$2:$P$479,"none")&gt;=3),1,0))</f>
        <v/>
      </c>
    </row>
    <row r="436">
      <c r="A436" s="3" t="n">
        <v>150</v>
      </c>
      <c r="B436" s="4" t="inlineStr">
        <is>
          <t>Deelnemer 5</t>
        </is>
      </c>
      <c r="C436" s="4" t="inlineStr">
        <is>
          <t>lyrics</t>
        </is>
      </c>
      <c r="D436" s="4" t="inlineStr">
        <is>
          <t>2026-10-14T13:27:33.149Z</t>
        </is>
      </c>
      <c r="E436" s="3" t="n">
        <v>2</v>
      </c>
      <c r="F436" s="4" t="inlineStr">
        <is>
          <t>3 2 8 8 1 4 2 2</t>
        </is>
      </c>
      <c r="G436" s="3" t="n">
        <v>30</v>
      </c>
      <c r="H436" s="3" t="n">
        <v>30</v>
      </c>
      <c r="I436" s="3" t="inlineStr">
        <is>
          <t>true</t>
        </is>
      </c>
      <c r="J436" s="3" t="n">
        <v>0</v>
      </c>
      <c r="K436" s="3" t="n">
        <v>1814</v>
      </c>
      <c r="L436" s="3" t="n">
        <v>8</v>
      </c>
      <c r="M436" s="5" t="n">
        <v>1.8</v>
      </c>
      <c r="N436" s="3" t="n">
        <v>1</v>
      </c>
      <c r="O436" s="3" t="n">
        <v>9</v>
      </c>
      <c r="P436" s="6">
        <f>LOWER(TRIM(C436))</f>
        <v/>
      </c>
      <c r="Q436" s="6">
        <f>IF(I436="true",1,0)</f>
        <v/>
      </c>
      <c r="R436" s="7">
        <f>IF(K436="","",K436)</f>
        <v/>
      </c>
      <c r="S436" s="6">
        <f>IF(OR(H436="",H436&lt;8,H436&gt;72),"",J436)</f>
        <v/>
      </c>
      <c r="T436" s="6">
        <f>IF(OR(P436="lyrics",P436="instrumental"),1,IF(AND(P436="none",COUNTIFS($B$2:$B$479,B436,$P$2:$P$479,"none")&gt;=3),1,0))</f>
        <v/>
      </c>
    </row>
    <row r="437">
      <c r="A437" s="8" t="n">
        <v>150</v>
      </c>
      <c r="B437" s="9" t="inlineStr">
        <is>
          <t>Deelnemer 5</t>
        </is>
      </c>
      <c r="C437" s="9" t="inlineStr">
        <is>
          <t>lyrics</t>
        </is>
      </c>
      <c r="D437" s="9" t="inlineStr">
        <is>
          <t>2026-10-14T13:27:33.149Z</t>
        </is>
      </c>
      <c r="E437" s="8" t="n">
        <v>3</v>
      </c>
      <c r="F437" s="9" t="inlineStr">
        <is>
          <t>1 7 3 9 7 2 5 9</t>
        </is>
      </c>
      <c r="G437" s="8" t="n">
        <v>43</v>
      </c>
      <c r="H437" s="8" t="n">
        <v>52</v>
      </c>
      <c r="I437" s="8" t="inlineStr">
        <is>
          <t>false</t>
        </is>
      </c>
      <c r="J437" s="8" t="n">
        <v>9</v>
      </c>
      <c r="K437" s="8" t="n">
        <v>6773</v>
      </c>
      <c r="L437" s="8" t="n">
        <v>8</v>
      </c>
      <c r="M437" s="10" t="n">
        <v>1.8</v>
      </c>
      <c r="N437" s="8" t="n">
        <v>1</v>
      </c>
      <c r="O437" s="8" t="n">
        <v>9</v>
      </c>
      <c r="P437" s="6">
        <f>LOWER(TRIM(C437))</f>
        <v/>
      </c>
      <c r="Q437" s="6">
        <f>IF(I437="true",1,0)</f>
        <v/>
      </c>
      <c r="R437" s="7">
        <f>IF(K437="","",K437)</f>
        <v/>
      </c>
      <c r="S437" s="6">
        <f>IF(OR(H437="",H437&lt;8,H437&gt;72),"",J437)</f>
        <v/>
      </c>
      <c r="T437" s="6">
        <f>IF(OR(P437="lyrics",P437="instrumental"),1,IF(AND(P437="none",COUNTIFS($B$2:$B$479,B437,$P$2:$P$479,"none")&gt;=3),1,0))</f>
        <v/>
      </c>
    </row>
    <row r="438">
      <c r="A438" s="3" t="n">
        <v>151</v>
      </c>
      <c r="B438" s="4" t="inlineStr">
        <is>
          <t>Deelnemer 5</t>
        </is>
      </c>
      <c r="C438" s="4" t="inlineStr">
        <is>
          <t>lyrics</t>
        </is>
      </c>
      <c r="D438" s="4" t="inlineStr">
        <is>
          <t>2026-10-14T13:28:31.649Z</t>
        </is>
      </c>
      <c r="E438" s="3" t="n">
        <v>1</v>
      </c>
      <c r="F438" s="4" t="inlineStr">
        <is>
          <t>5 3 7 5 3 1 7 6</t>
        </is>
      </c>
      <c r="G438" s="3" t="n">
        <v>37</v>
      </c>
      <c r="H438" s="3" t="n">
        <v>37</v>
      </c>
      <c r="I438" s="3" t="inlineStr">
        <is>
          <t>true</t>
        </is>
      </c>
      <c r="J438" s="3" t="n">
        <v>0</v>
      </c>
      <c r="K438" s="3" t="n">
        <v>2088</v>
      </c>
      <c r="L438" s="3" t="n">
        <v>8</v>
      </c>
      <c r="M438" s="5" t="n">
        <v>1.8</v>
      </c>
      <c r="N438" s="3" t="n">
        <v>1</v>
      </c>
      <c r="O438" s="3" t="n">
        <v>9</v>
      </c>
      <c r="P438" s="6">
        <f>LOWER(TRIM(C438))</f>
        <v/>
      </c>
      <c r="Q438" s="6">
        <f>IF(I438="true",1,0)</f>
        <v/>
      </c>
      <c r="R438" s="7">
        <f>IF(K438="","",K438)</f>
        <v/>
      </c>
      <c r="S438" s="6">
        <f>IF(OR(H438="",H438&lt;8,H438&gt;72),"",J438)</f>
        <v/>
      </c>
      <c r="T438" s="6">
        <f>IF(OR(P438="lyrics",P438="instrumental"),1,IF(AND(P438="none",COUNTIFS($B$2:$B$479,B438,$P$2:$P$479,"none")&gt;=3),1,0))</f>
        <v/>
      </c>
    </row>
    <row r="439">
      <c r="A439" s="8" t="n">
        <v>151</v>
      </c>
      <c r="B439" s="9" t="inlineStr">
        <is>
          <t>Deelnemer 5</t>
        </is>
      </c>
      <c r="C439" s="9" t="inlineStr">
        <is>
          <t>lyrics</t>
        </is>
      </c>
      <c r="D439" s="9" t="inlineStr">
        <is>
          <t>2026-10-14T13:28:31.649Z</t>
        </is>
      </c>
      <c r="E439" s="8" t="n">
        <v>2</v>
      </c>
      <c r="F439" s="9" t="inlineStr">
        <is>
          <t>1 2 3 6 3 9 3 3</t>
        </is>
      </c>
      <c r="G439" s="8" t="n">
        <v>30</v>
      </c>
      <c r="H439" s="8" t="n">
        <v>30</v>
      </c>
      <c r="I439" s="8" t="inlineStr">
        <is>
          <t>true</t>
        </is>
      </c>
      <c r="J439" s="8" t="n">
        <v>0</v>
      </c>
      <c r="K439" s="8" t="n">
        <v>2005</v>
      </c>
      <c r="L439" s="8" t="n">
        <v>8</v>
      </c>
      <c r="M439" s="10" t="n">
        <v>1.8</v>
      </c>
      <c r="N439" s="8" t="n">
        <v>1</v>
      </c>
      <c r="O439" s="8" t="n">
        <v>9</v>
      </c>
      <c r="P439" s="6">
        <f>LOWER(TRIM(C439))</f>
        <v/>
      </c>
      <c r="Q439" s="6">
        <f>IF(I439="true",1,0)</f>
        <v/>
      </c>
      <c r="R439" s="7">
        <f>IF(K439="","",K439)</f>
        <v/>
      </c>
      <c r="S439" s="6">
        <f>IF(OR(H439="",H439&lt;8,H439&gt;72),"",J439)</f>
        <v/>
      </c>
      <c r="T439" s="6">
        <f>IF(OR(P439="lyrics",P439="instrumental"),1,IF(AND(P439="none",COUNTIFS($B$2:$B$479,B439,$P$2:$P$479,"none")&gt;=3),1,0))</f>
        <v/>
      </c>
    </row>
    <row r="440">
      <c r="A440" s="3" t="n">
        <v>151</v>
      </c>
      <c r="B440" s="4" t="inlineStr">
        <is>
          <t>Deelnemer 5</t>
        </is>
      </c>
      <c r="C440" s="4" t="inlineStr">
        <is>
          <t>lyrics</t>
        </is>
      </c>
      <c r="D440" s="4" t="inlineStr">
        <is>
          <t>2026-10-14T13:28:31.649Z</t>
        </is>
      </c>
      <c r="E440" s="3" t="n">
        <v>3</v>
      </c>
      <c r="F440" s="4" t="inlineStr">
        <is>
          <t>8 6 3 1 2 5 2 5</t>
        </is>
      </c>
      <c r="G440" s="3" t="n">
        <v>32</v>
      </c>
      <c r="H440" s="3" t="n">
        <v>32</v>
      </c>
      <c r="I440" s="3" t="inlineStr">
        <is>
          <t>true</t>
        </is>
      </c>
      <c r="J440" s="3" t="n">
        <v>0</v>
      </c>
      <c r="K440" s="3" t="n">
        <v>2079</v>
      </c>
      <c r="L440" s="3" t="n">
        <v>8</v>
      </c>
      <c r="M440" s="5" t="n">
        <v>1.8</v>
      </c>
      <c r="N440" s="3" t="n">
        <v>1</v>
      </c>
      <c r="O440" s="3" t="n">
        <v>9</v>
      </c>
      <c r="P440" s="6">
        <f>LOWER(TRIM(C440))</f>
        <v/>
      </c>
      <c r="Q440" s="6">
        <f>IF(I440="true",1,0)</f>
        <v/>
      </c>
      <c r="R440" s="7">
        <f>IF(K440="","",K440)</f>
        <v/>
      </c>
      <c r="S440" s="6">
        <f>IF(OR(H440="",H440&lt;8,H440&gt;72),"",J440)</f>
        <v/>
      </c>
      <c r="T440" s="6">
        <f>IF(OR(P440="lyrics",P440="instrumental"),1,IF(AND(P440="none",COUNTIFS($B$2:$B$479,B440,$P$2:$P$479,"none")&gt;=3),1,0))</f>
        <v/>
      </c>
    </row>
    <row r="441">
      <c r="A441" s="8" t="n">
        <v>152</v>
      </c>
      <c r="B441" s="9" t="inlineStr">
        <is>
          <t>Deelnemer 5</t>
        </is>
      </c>
      <c r="C441" s="9" t="inlineStr">
        <is>
          <t>instrumental</t>
        </is>
      </c>
      <c r="D441" s="9" t="inlineStr">
        <is>
          <t>2026-10-14T13:30:31.978Z</t>
        </is>
      </c>
      <c r="E441" s="8" t="n">
        <v>1</v>
      </c>
      <c r="F441" s="9" t="inlineStr">
        <is>
          <t>8 7 8 4 9 7 2 9</t>
        </is>
      </c>
      <c r="G441" s="8" t="n">
        <v>54</v>
      </c>
      <c r="H441" s="8" t="n">
        <v>34</v>
      </c>
      <c r="I441" s="8" t="inlineStr">
        <is>
          <t>false</t>
        </is>
      </c>
      <c r="J441" s="8" t="n">
        <v>20</v>
      </c>
      <c r="K441" s="8" t="n">
        <v>2311</v>
      </c>
      <c r="L441" s="8" t="n">
        <v>8</v>
      </c>
      <c r="M441" s="10" t="n">
        <v>1.8</v>
      </c>
      <c r="N441" s="8" t="n">
        <v>1</v>
      </c>
      <c r="O441" s="8" t="n">
        <v>9</v>
      </c>
      <c r="P441" s="6">
        <f>LOWER(TRIM(C441))</f>
        <v/>
      </c>
      <c r="Q441" s="6">
        <f>IF(I441="true",1,0)</f>
        <v/>
      </c>
      <c r="R441" s="7">
        <f>IF(K441="","",K441)</f>
        <v/>
      </c>
      <c r="S441" s="6">
        <f>IF(OR(H441="",H441&lt;8,H441&gt;72),"",J441)</f>
        <v/>
      </c>
      <c r="T441" s="6">
        <f>IF(OR(P441="lyrics",P441="instrumental"),1,IF(AND(P441="none",COUNTIFS($B$2:$B$479,B441,$P$2:$P$479,"none")&gt;=3),1,0))</f>
        <v/>
      </c>
    </row>
    <row r="442">
      <c r="A442" s="3" t="n">
        <v>152</v>
      </c>
      <c r="B442" s="4" t="inlineStr">
        <is>
          <t>Deelnemer 5</t>
        </is>
      </c>
      <c r="C442" s="4" t="inlineStr">
        <is>
          <t>instrumental</t>
        </is>
      </c>
      <c r="D442" s="4" t="inlineStr">
        <is>
          <t>2026-10-14T13:30:31.978Z</t>
        </is>
      </c>
      <c r="E442" s="3" t="n">
        <v>2</v>
      </c>
      <c r="F442" s="4" t="inlineStr">
        <is>
          <t>9 1 2 2 8 1 8 2</t>
        </is>
      </c>
      <c r="G442" s="3" t="n">
        <v>33</v>
      </c>
      <c r="H442" s="3" t="n">
        <v>37</v>
      </c>
      <c r="I442" s="3" t="inlineStr">
        <is>
          <t>false</t>
        </is>
      </c>
      <c r="J442" s="3" t="n">
        <v>4</v>
      </c>
      <c r="K442" s="3" t="n">
        <v>4008</v>
      </c>
      <c r="L442" s="3" t="n">
        <v>8</v>
      </c>
      <c r="M442" s="5" t="n">
        <v>1.8</v>
      </c>
      <c r="N442" s="3" t="n">
        <v>1</v>
      </c>
      <c r="O442" s="3" t="n">
        <v>9</v>
      </c>
      <c r="P442" s="6">
        <f>LOWER(TRIM(C442))</f>
        <v/>
      </c>
      <c r="Q442" s="6">
        <f>IF(I442="true",1,0)</f>
        <v/>
      </c>
      <c r="R442" s="7">
        <f>IF(K442="","",K442)</f>
        <v/>
      </c>
      <c r="S442" s="6">
        <f>IF(OR(H442="",H442&lt;8,H442&gt;72),"",J442)</f>
        <v/>
      </c>
      <c r="T442" s="6">
        <f>IF(OR(P442="lyrics",P442="instrumental"),1,IF(AND(P442="none",COUNTIFS($B$2:$B$479,B442,$P$2:$P$479,"none")&gt;=3),1,0))</f>
        <v/>
      </c>
    </row>
    <row r="443">
      <c r="A443" s="8" t="n">
        <v>152</v>
      </c>
      <c r="B443" s="9" t="inlineStr">
        <is>
          <t>Deelnemer 5</t>
        </is>
      </c>
      <c r="C443" s="9" t="inlineStr">
        <is>
          <t>instrumental</t>
        </is>
      </c>
      <c r="D443" s="9" t="inlineStr">
        <is>
          <t>2026-10-14T13:30:31.978Z</t>
        </is>
      </c>
      <c r="E443" s="8" t="n">
        <v>3</v>
      </c>
      <c r="F443" s="9" t="inlineStr">
        <is>
          <t>4 3 7 7 4 1 7 5</t>
        </is>
      </c>
      <c r="G443" s="8" t="n">
        <v>38</v>
      </c>
      <c r="H443" s="8" t="n">
        <v>38</v>
      </c>
      <c r="I443" s="8" t="inlineStr">
        <is>
          <t>true</t>
        </is>
      </c>
      <c r="J443" s="8" t="n">
        <v>0</v>
      </c>
      <c r="K443" s="8" t="n">
        <v>3538</v>
      </c>
      <c r="L443" s="8" t="n">
        <v>8</v>
      </c>
      <c r="M443" s="10" t="n">
        <v>1.8</v>
      </c>
      <c r="N443" s="8" t="n">
        <v>1</v>
      </c>
      <c r="O443" s="8" t="n">
        <v>9</v>
      </c>
      <c r="P443" s="6">
        <f>LOWER(TRIM(C443))</f>
        <v/>
      </c>
      <c r="Q443" s="6">
        <f>IF(I443="true",1,0)</f>
        <v/>
      </c>
      <c r="R443" s="7">
        <f>IF(K443="","",K443)</f>
        <v/>
      </c>
      <c r="S443" s="6">
        <f>IF(OR(H443="",H443&lt;8,H443&gt;72),"",J443)</f>
        <v/>
      </c>
      <c r="T443" s="6">
        <f>IF(OR(P443="lyrics",P443="instrumental"),1,IF(AND(P443="none",COUNTIFS($B$2:$B$479,B443,$P$2:$P$479,"none")&gt;=3),1,0))</f>
        <v/>
      </c>
    </row>
    <row r="444">
      <c r="A444" s="3" t="n">
        <v>153</v>
      </c>
      <c r="B444" s="4" t="inlineStr">
        <is>
          <t>Deelnemer 6</t>
        </is>
      </c>
      <c r="C444" s="4" t="inlineStr">
        <is>
          <t>instrumental</t>
        </is>
      </c>
      <c r="D444" s="4" t="inlineStr">
        <is>
          <t>2026-10-14T13:55:19.467Z</t>
        </is>
      </c>
      <c r="E444" s="3" t="n">
        <v>1</v>
      </c>
      <c r="F444" s="4" t="inlineStr">
        <is>
          <t>1 5 2 1 3 2 4 6</t>
        </is>
      </c>
      <c r="G444" s="3" t="n">
        <v>24</v>
      </c>
      <c r="H444" s="3" t="n">
        <v>24</v>
      </c>
      <c r="I444" s="3" t="inlineStr">
        <is>
          <t>true</t>
        </is>
      </c>
      <c r="J444" s="3" t="n">
        <v>0</v>
      </c>
      <c r="K444" s="3" t="n">
        <v>1858</v>
      </c>
      <c r="L444" s="3" t="n">
        <v>8</v>
      </c>
      <c r="M444" s="5" t="n">
        <v>1.8</v>
      </c>
      <c r="N444" s="3" t="n">
        <v>1</v>
      </c>
      <c r="O444" s="3" t="n">
        <v>9</v>
      </c>
      <c r="P444" s="6">
        <f>LOWER(TRIM(C444))</f>
        <v/>
      </c>
      <c r="Q444" s="6">
        <f>IF(I444="true",1,0)</f>
        <v/>
      </c>
      <c r="R444" s="7">
        <f>IF(K444="","",K444)</f>
        <v/>
      </c>
      <c r="S444" s="6">
        <f>IF(OR(H444="",H444&lt;8,H444&gt;72),"",J444)</f>
        <v/>
      </c>
      <c r="T444" s="6">
        <f>IF(OR(P444="lyrics",P444="instrumental"),1,IF(AND(P444="none",COUNTIFS($B$2:$B$479,B444,$P$2:$P$479,"none")&gt;=3),1,0))</f>
        <v/>
      </c>
    </row>
    <row r="445">
      <c r="A445" s="8" t="n">
        <v>153</v>
      </c>
      <c r="B445" s="9" t="inlineStr">
        <is>
          <t>Deelnemer 6</t>
        </is>
      </c>
      <c r="C445" s="9" t="inlineStr">
        <is>
          <t>instrumental</t>
        </is>
      </c>
      <c r="D445" s="9" t="inlineStr">
        <is>
          <t>2026-10-14T13:55:19.467Z</t>
        </is>
      </c>
      <c r="E445" s="8" t="n">
        <v>2</v>
      </c>
      <c r="F445" s="9" t="inlineStr">
        <is>
          <t>7 8 1 7 8 3 8 8</t>
        </is>
      </c>
      <c r="G445" s="8" t="n">
        <v>50</v>
      </c>
      <c r="H445" s="8" t="n">
        <v>50</v>
      </c>
      <c r="I445" s="8" t="inlineStr">
        <is>
          <t>true</t>
        </is>
      </c>
      <c r="J445" s="8" t="n">
        <v>0</v>
      </c>
      <c r="K445" s="8" t="n">
        <v>1929</v>
      </c>
      <c r="L445" s="8" t="n">
        <v>8</v>
      </c>
      <c r="M445" s="10" t="n">
        <v>1.8</v>
      </c>
      <c r="N445" s="8" t="n">
        <v>1</v>
      </c>
      <c r="O445" s="8" t="n">
        <v>9</v>
      </c>
      <c r="P445" s="6">
        <f>LOWER(TRIM(C445))</f>
        <v/>
      </c>
      <c r="Q445" s="6">
        <f>IF(I445="true",1,0)</f>
        <v/>
      </c>
      <c r="R445" s="7">
        <f>IF(K445="","",K445)</f>
        <v/>
      </c>
      <c r="S445" s="6">
        <f>IF(OR(H445="",H445&lt;8,H445&gt;72),"",J445)</f>
        <v/>
      </c>
      <c r="T445" s="6">
        <f>IF(OR(P445="lyrics",P445="instrumental"),1,IF(AND(P445="none",COUNTIFS($B$2:$B$479,B445,$P$2:$P$479,"none")&gt;=3),1,0))</f>
        <v/>
      </c>
    </row>
    <row r="446">
      <c r="A446" s="3" t="n">
        <v>153</v>
      </c>
      <c r="B446" s="4" t="inlineStr">
        <is>
          <t>Deelnemer 6</t>
        </is>
      </c>
      <c r="C446" s="4" t="inlineStr">
        <is>
          <t>instrumental</t>
        </is>
      </c>
      <c r="D446" s="4" t="inlineStr">
        <is>
          <t>2026-10-14T13:55:19.467Z</t>
        </is>
      </c>
      <c r="E446" s="3" t="n">
        <v>3</v>
      </c>
      <c r="F446" s="4" t="inlineStr">
        <is>
          <t>1 5 3 2 8 7 5 5</t>
        </is>
      </c>
      <c r="G446" s="3" t="n">
        <v>36</v>
      </c>
      <c r="H446" s="3" t="n">
        <v>36</v>
      </c>
      <c r="I446" s="3" t="inlineStr">
        <is>
          <t>true</t>
        </is>
      </c>
      <c r="J446" s="3" t="n">
        <v>0</v>
      </c>
      <c r="K446" s="3" t="n">
        <v>1956</v>
      </c>
      <c r="L446" s="3" t="n">
        <v>8</v>
      </c>
      <c r="M446" s="5" t="n">
        <v>1.8</v>
      </c>
      <c r="N446" s="3" t="n">
        <v>1</v>
      </c>
      <c r="O446" s="3" t="n">
        <v>9</v>
      </c>
      <c r="P446" s="6">
        <f>LOWER(TRIM(C446))</f>
        <v/>
      </c>
      <c r="Q446" s="6">
        <f>IF(I446="true",1,0)</f>
        <v/>
      </c>
      <c r="R446" s="7">
        <f>IF(K446="","",K446)</f>
        <v/>
      </c>
      <c r="S446" s="6">
        <f>IF(OR(H446="",H446&lt;8,H446&gt;72),"",J446)</f>
        <v/>
      </c>
      <c r="T446" s="6">
        <f>IF(OR(P446="lyrics",P446="instrumental"),1,IF(AND(P446="none",COUNTIFS($B$2:$B$479,B446,$P$2:$P$479,"none")&gt;=3),1,0))</f>
        <v/>
      </c>
    </row>
    <row r="447">
      <c r="A447" s="8" t="n">
        <v>154</v>
      </c>
      <c r="B447" s="9" t="inlineStr">
        <is>
          <t>Deelnemer 6</t>
        </is>
      </c>
      <c r="C447" s="9" t="inlineStr">
        <is>
          <t>instrumental</t>
        </is>
      </c>
      <c r="D447" s="9" t="inlineStr">
        <is>
          <t>2026-10-14T13:56:18.918Z</t>
        </is>
      </c>
      <c r="E447" s="8" t="n">
        <v>1</v>
      </c>
      <c r="F447" s="9" t="inlineStr">
        <is>
          <t>4 5 9 7 6 5 9 3</t>
        </is>
      </c>
      <c r="G447" s="8" t="n">
        <v>48</v>
      </c>
      <c r="H447" s="8" t="n">
        <v>46</v>
      </c>
      <c r="I447" s="8" t="inlineStr">
        <is>
          <t>false</t>
        </is>
      </c>
      <c r="J447" s="8" t="n">
        <v>2</v>
      </c>
      <c r="K447" s="8" t="n">
        <v>2336</v>
      </c>
      <c r="L447" s="8" t="n">
        <v>8</v>
      </c>
      <c r="M447" s="10" t="n">
        <v>1.8</v>
      </c>
      <c r="N447" s="8" t="n">
        <v>1</v>
      </c>
      <c r="O447" s="8" t="n">
        <v>9</v>
      </c>
      <c r="P447" s="6">
        <f>LOWER(TRIM(C447))</f>
        <v/>
      </c>
      <c r="Q447" s="6">
        <f>IF(I447="true",1,0)</f>
        <v/>
      </c>
      <c r="R447" s="7">
        <f>IF(K447="","",K447)</f>
        <v/>
      </c>
      <c r="S447" s="6">
        <f>IF(OR(H447="",H447&lt;8,H447&gt;72),"",J447)</f>
        <v/>
      </c>
      <c r="T447" s="6">
        <f>IF(OR(P447="lyrics",P447="instrumental"),1,IF(AND(P447="none",COUNTIFS($B$2:$B$479,B447,$P$2:$P$479,"none")&gt;=3),1,0))</f>
        <v/>
      </c>
    </row>
    <row r="448">
      <c r="A448" s="3" t="n">
        <v>154</v>
      </c>
      <c r="B448" s="4" t="inlineStr">
        <is>
          <t>Deelnemer 6</t>
        </is>
      </c>
      <c r="C448" s="4" t="inlineStr">
        <is>
          <t>instrumental</t>
        </is>
      </c>
      <c r="D448" s="4" t="inlineStr">
        <is>
          <t>2026-10-14T13:56:18.918Z</t>
        </is>
      </c>
      <c r="E448" s="3" t="n">
        <v>2</v>
      </c>
      <c r="F448" s="4" t="inlineStr">
        <is>
          <t>1 9 4 5 3 4 6 9</t>
        </is>
      </c>
      <c r="G448" s="3" t="n">
        <v>41</v>
      </c>
      <c r="H448" s="3" t="n">
        <v>41</v>
      </c>
      <c r="I448" s="3" t="inlineStr">
        <is>
          <t>true</t>
        </is>
      </c>
      <c r="J448" s="3" t="n">
        <v>0</v>
      </c>
      <c r="K448" s="3" t="n">
        <v>1997</v>
      </c>
      <c r="L448" s="3" t="n">
        <v>8</v>
      </c>
      <c r="M448" s="5" t="n">
        <v>1.8</v>
      </c>
      <c r="N448" s="3" t="n">
        <v>1</v>
      </c>
      <c r="O448" s="3" t="n">
        <v>9</v>
      </c>
      <c r="P448" s="6">
        <f>LOWER(TRIM(C448))</f>
        <v/>
      </c>
      <c r="Q448" s="6">
        <f>IF(I448="true",1,0)</f>
        <v/>
      </c>
      <c r="R448" s="7">
        <f>IF(K448="","",K448)</f>
        <v/>
      </c>
      <c r="S448" s="6">
        <f>IF(OR(H448="",H448&lt;8,H448&gt;72),"",J448)</f>
        <v/>
      </c>
      <c r="T448" s="6">
        <f>IF(OR(P448="lyrics",P448="instrumental"),1,IF(AND(P448="none",COUNTIFS($B$2:$B$479,B448,$P$2:$P$479,"none")&gt;=3),1,0))</f>
        <v/>
      </c>
    </row>
    <row r="449">
      <c r="A449" s="8" t="n">
        <v>154</v>
      </c>
      <c r="B449" s="9" t="inlineStr">
        <is>
          <t>Deelnemer 6</t>
        </is>
      </c>
      <c r="C449" s="9" t="inlineStr">
        <is>
          <t>instrumental</t>
        </is>
      </c>
      <c r="D449" s="9" t="inlineStr">
        <is>
          <t>2026-10-14T13:56:18.918Z</t>
        </is>
      </c>
      <c r="E449" s="8" t="n">
        <v>3</v>
      </c>
      <c r="F449" s="9" t="inlineStr">
        <is>
          <t>9 2 5 6 1 3 2 3</t>
        </is>
      </c>
      <c r="G449" s="8" t="n">
        <v>31</v>
      </c>
      <c r="H449" s="8" t="n">
        <v>31</v>
      </c>
      <c r="I449" s="8" t="inlineStr">
        <is>
          <t>true</t>
        </is>
      </c>
      <c r="J449" s="8" t="n">
        <v>0</v>
      </c>
      <c r="K449" s="8" t="n">
        <v>1787</v>
      </c>
      <c r="L449" s="8" t="n">
        <v>8</v>
      </c>
      <c r="M449" s="10" t="n">
        <v>1.8</v>
      </c>
      <c r="N449" s="8" t="n">
        <v>1</v>
      </c>
      <c r="O449" s="8" t="n">
        <v>9</v>
      </c>
      <c r="P449" s="6">
        <f>LOWER(TRIM(C449))</f>
        <v/>
      </c>
      <c r="Q449" s="6">
        <f>IF(I449="true",1,0)</f>
        <v/>
      </c>
      <c r="R449" s="7">
        <f>IF(K449="","",K449)</f>
        <v/>
      </c>
      <c r="S449" s="6">
        <f>IF(OR(H449="",H449&lt;8,H449&gt;72),"",J449)</f>
        <v/>
      </c>
      <c r="T449" s="6">
        <f>IF(OR(P449="lyrics",P449="instrumental"),1,IF(AND(P449="none",COUNTIFS($B$2:$B$479,B449,$P$2:$P$479,"none")&gt;=3),1,0))</f>
        <v/>
      </c>
    </row>
    <row r="450">
      <c r="A450" s="3" t="n">
        <v>155</v>
      </c>
      <c r="B450" s="4" t="inlineStr">
        <is>
          <t>Deelnemer 6</t>
        </is>
      </c>
      <c r="C450" s="4" t="inlineStr">
        <is>
          <t>instrumental</t>
        </is>
      </c>
      <c r="D450" s="4" t="inlineStr">
        <is>
          <t>2026-10-14T13:57:19.708Z</t>
        </is>
      </c>
      <c r="E450" s="3" t="n">
        <v>1</v>
      </c>
      <c r="F450" s="4" t="inlineStr">
        <is>
          <t>8 7 9 2 9 4 5 7</t>
        </is>
      </c>
      <c r="G450" s="3" t="n">
        <v>51</v>
      </c>
      <c r="H450" s="3" t="n">
        <v>51</v>
      </c>
      <c r="I450" s="3" t="inlineStr">
        <is>
          <t>true</t>
        </is>
      </c>
      <c r="J450" s="3" t="n">
        <v>0</v>
      </c>
      <c r="K450" s="3" t="n">
        <v>1848</v>
      </c>
      <c r="L450" s="3" t="n">
        <v>8</v>
      </c>
      <c r="M450" s="5" t="n">
        <v>1.8</v>
      </c>
      <c r="N450" s="3" t="n">
        <v>1</v>
      </c>
      <c r="O450" s="3" t="n">
        <v>9</v>
      </c>
      <c r="P450" s="6">
        <f>LOWER(TRIM(C450))</f>
        <v/>
      </c>
      <c r="Q450" s="6">
        <f>IF(I450="true",1,0)</f>
        <v/>
      </c>
      <c r="R450" s="7">
        <f>IF(K450="","",K450)</f>
        <v/>
      </c>
      <c r="S450" s="6">
        <f>IF(OR(H450="",H450&lt;8,H450&gt;72),"",J450)</f>
        <v/>
      </c>
      <c r="T450" s="6">
        <f>IF(OR(P450="lyrics",P450="instrumental"),1,IF(AND(P450="none",COUNTIFS($B$2:$B$479,B450,$P$2:$P$479,"none")&gt;=3),1,0))</f>
        <v/>
      </c>
    </row>
    <row r="451">
      <c r="A451" s="8" t="n">
        <v>155</v>
      </c>
      <c r="B451" s="9" t="inlineStr">
        <is>
          <t>Deelnemer 6</t>
        </is>
      </c>
      <c r="C451" s="9" t="inlineStr">
        <is>
          <t>instrumental</t>
        </is>
      </c>
      <c r="D451" s="9" t="inlineStr">
        <is>
          <t>2026-10-14T13:57:19.708Z</t>
        </is>
      </c>
      <c r="E451" s="8" t="n">
        <v>2</v>
      </c>
      <c r="F451" s="9" t="inlineStr">
        <is>
          <t>8 9 6 9 3 7 4 1</t>
        </is>
      </c>
      <c r="G451" s="8" t="n">
        <v>47</v>
      </c>
      <c r="H451" s="8" t="n">
        <v>50</v>
      </c>
      <c r="I451" s="8" t="inlineStr">
        <is>
          <t>false</t>
        </is>
      </c>
      <c r="J451" s="8" t="n">
        <v>3</v>
      </c>
      <c r="K451" s="8" t="n">
        <v>5239</v>
      </c>
      <c r="L451" s="8" t="n">
        <v>8</v>
      </c>
      <c r="M451" s="10" t="n">
        <v>1.8</v>
      </c>
      <c r="N451" s="8" t="n">
        <v>1</v>
      </c>
      <c r="O451" s="8" t="n">
        <v>9</v>
      </c>
      <c r="P451" s="6">
        <f>LOWER(TRIM(C451))</f>
        <v/>
      </c>
      <c r="Q451" s="6">
        <f>IF(I451="true",1,0)</f>
        <v/>
      </c>
      <c r="R451" s="7">
        <f>IF(K451="","",K451)</f>
        <v/>
      </c>
      <c r="S451" s="6">
        <f>IF(OR(H451="",H451&lt;8,H451&gt;72),"",J451)</f>
        <v/>
      </c>
      <c r="T451" s="6">
        <f>IF(OR(P451="lyrics",P451="instrumental"),1,IF(AND(P451="none",COUNTIFS($B$2:$B$479,B451,$P$2:$P$479,"none")&gt;=3),1,0))</f>
        <v/>
      </c>
    </row>
    <row r="452">
      <c r="A452" s="3" t="n">
        <v>155</v>
      </c>
      <c r="B452" s="4" t="inlineStr">
        <is>
          <t>Deelnemer 6</t>
        </is>
      </c>
      <c r="C452" s="4" t="inlineStr">
        <is>
          <t>instrumental</t>
        </is>
      </c>
      <c r="D452" s="4" t="inlineStr">
        <is>
          <t>2026-10-14T13:57:19.708Z</t>
        </is>
      </c>
      <c r="E452" s="3" t="n">
        <v>3</v>
      </c>
      <c r="F452" s="4" t="inlineStr">
        <is>
          <t>7 6 7 2 5 1 2 2</t>
        </is>
      </c>
      <c r="G452" s="3" t="n">
        <v>32</v>
      </c>
      <c r="H452" s="3" t="n">
        <v>32</v>
      </c>
      <c r="I452" s="3" t="inlineStr">
        <is>
          <t>true</t>
        </is>
      </c>
      <c r="J452" s="3" t="n">
        <v>0</v>
      </c>
      <c r="K452" s="3" t="n">
        <v>2326</v>
      </c>
      <c r="L452" s="3" t="n">
        <v>8</v>
      </c>
      <c r="M452" s="5" t="n">
        <v>1.8</v>
      </c>
      <c r="N452" s="3" t="n">
        <v>1</v>
      </c>
      <c r="O452" s="3" t="n">
        <v>9</v>
      </c>
      <c r="P452" s="6">
        <f>LOWER(TRIM(C452))</f>
        <v/>
      </c>
      <c r="Q452" s="6">
        <f>IF(I452="true",1,0)</f>
        <v/>
      </c>
      <c r="R452" s="7">
        <f>IF(K452="","",K452)</f>
        <v/>
      </c>
      <c r="S452" s="6">
        <f>IF(OR(H452="",H452&lt;8,H452&gt;72),"",J452)</f>
        <v/>
      </c>
      <c r="T452" s="6">
        <f>IF(OR(P452="lyrics",P452="instrumental"),1,IF(AND(P452="none",COUNTIFS($B$2:$B$479,B452,$P$2:$P$479,"none")&gt;=3),1,0))</f>
        <v/>
      </c>
    </row>
    <row r="453">
      <c r="A453" s="8" t="n">
        <v>156</v>
      </c>
      <c r="B453" s="9" t="inlineStr">
        <is>
          <t>Deelnemer 6</t>
        </is>
      </c>
      <c r="C453" s="9" t="inlineStr">
        <is>
          <t>lyrics</t>
        </is>
      </c>
      <c r="D453" s="9" t="inlineStr">
        <is>
          <t>2026-10-14T13:58:22.142Z</t>
        </is>
      </c>
      <c r="E453" s="8" t="n">
        <v>1</v>
      </c>
      <c r="F453" s="9" t="inlineStr">
        <is>
          <t>3 1 8 8 9 1 3 8</t>
        </is>
      </c>
      <c r="G453" s="8" t="n">
        <v>41</v>
      </c>
      <c r="H453" s="8" t="n">
        <v>41</v>
      </c>
      <c r="I453" s="8" t="inlineStr">
        <is>
          <t>true</t>
        </is>
      </c>
      <c r="J453" s="8" t="n">
        <v>0</v>
      </c>
      <c r="K453" s="8" t="n">
        <v>3299</v>
      </c>
      <c r="L453" s="8" t="n">
        <v>8</v>
      </c>
      <c r="M453" s="10" t="n">
        <v>1.8</v>
      </c>
      <c r="N453" s="8" t="n">
        <v>1</v>
      </c>
      <c r="O453" s="8" t="n">
        <v>9</v>
      </c>
      <c r="P453" s="6">
        <f>LOWER(TRIM(C453))</f>
        <v/>
      </c>
      <c r="Q453" s="6">
        <f>IF(I453="true",1,0)</f>
        <v/>
      </c>
      <c r="R453" s="7">
        <f>IF(K453="","",K453)</f>
        <v/>
      </c>
      <c r="S453" s="6">
        <f>IF(OR(H453="",H453&lt;8,H453&gt;72),"",J453)</f>
        <v/>
      </c>
      <c r="T453" s="6">
        <f>IF(OR(P453="lyrics",P453="instrumental"),1,IF(AND(P453="none",COUNTIFS($B$2:$B$479,B453,$P$2:$P$479,"none")&gt;=3),1,0))</f>
        <v/>
      </c>
    </row>
    <row r="454">
      <c r="A454" s="3" t="n">
        <v>156</v>
      </c>
      <c r="B454" s="4" t="inlineStr">
        <is>
          <t>Deelnemer 6</t>
        </is>
      </c>
      <c r="C454" s="4" t="inlineStr">
        <is>
          <t>lyrics</t>
        </is>
      </c>
      <c r="D454" s="4" t="inlineStr">
        <is>
          <t>2026-10-14T13:58:22.142Z</t>
        </is>
      </c>
      <c r="E454" s="3" t="n">
        <v>2</v>
      </c>
      <c r="F454" s="4" t="inlineStr">
        <is>
          <t>6 7 4 5 1 9 3 4</t>
        </is>
      </c>
      <c r="G454" s="3" t="n">
        <v>39</v>
      </c>
      <c r="H454" s="3" t="n">
        <v>42</v>
      </c>
      <c r="I454" s="3" t="inlineStr">
        <is>
          <t>false</t>
        </is>
      </c>
      <c r="J454" s="3" t="n">
        <v>3</v>
      </c>
      <c r="K454" s="3" t="n">
        <v>3860</v>
      </c>
      <c r="L454" s="3" t="n">
        <v>8</v>
      </c>
      <c r="M454" s="5" t="n">
        <v>1.8</v>
      </c>
      <c r="N454" s="3" t="n">
        <v>1</v>
      </c>
      <c r="O454" s="3" t="n">
        <v>9</v>
      </c>
      <c r="P454" s="6">
        <f>LOWER(TRIM(C454))</f>
        <v/>
      </c>
      <c r="Q454" s="6">
        <f>IF(I454="true",1,0)</f>
        <v/>
      </c>
      <c r="R454" s="7">
        <f>IF(K454="","",K454)</f>
        <v/>
      </c>
      <c r="S454" s="6">
        <f>IF(OR(H454="",H454&lt;8,H454&gt;72),"",J454)</f>
        <v/>
      </c>
      <c r="T454" s="6">
        <f>IF(OR(P454="lyrics",P454="instrumental"),1,IF(AND(P454="none",COUNTIFS($B$2:$B$479,B454,$P$2:$P$479,"none")&gt;=3),1,0))</f>
        <v/>
      </c>
    </row>
    <row r="455">
      <c r="A455" s="8" t="n">
        <v>156</v>
      </c>
      <c r="B455" s="9" t="inlineStr">
        <is>
          <t>Deelnemer 6</t>
        </is>
      </c>
      <c r="C455" s="9" t="inlineStr">
        <is>
          <t>lyrics</t>
        </is>
      </c>
      <c r="D455" s="9" t="inlineStr">
        <is>
          <t>2026-10-14T13:58:22.142Z</t>
        </is>
      </c>
      <c r="E455" s="8" t="n">
        <v>3</v>
      </c>
      <c r="F455" s="9" t="inlineStr">
        <is>
          <t>5 3 1 6 6 2 5 2</t>
        </is>
      </c>
      <c r="G455" s="8" t="n">
        <v>30</v>
      </c>
      <c r="H455" s="8" t="n">
        <v>30</v>
      </c>
      <c r="I455" s="8" t="inlineStr">
        <is>
          <t>true</t>
        </is>
      </c>
      <c r="J455" s="8" t="n">
        <v>0</v>
      </c>
      <c r="K455" s="8" t="n">
        <v>1976</v>
      </c>
      <c r="L455" s="8" t="n">
        <v>8</v>
      </c>
      <c r="M455" s="10" t="n">
        <v>1.8</v>
      </c>
      <c r="N455" s="8" t="n">
        <v>1</v>
      </c>
      <c r="O455" s="8" t="n">
        <v>9</v>
      </c>
      <c r="P455" s="6">
        <f>LOWER(TRIM(C455))</f>
        <v/>
      </c>
      <c r="Q455" s="6">
        <f>IF(I455="true",1,0)</f>
        <v/>
      </c>
      <c r="R455" s="7">
        <f>IF(K455="","",K455)</f>
        <v/>
      </c>
      <c r="S455" s="6">
        <f>IF(OR(H455="",H455&lt;8,H455&gt;72),"",J455)</f>
        <v/>
      </c>
      <c r="T455" s="6">
        <f>IF(OR(P455="lyrics",P455="instrumental"),1,IF(AND(P455="none",COUNTIFS($B$2:$B$479,B455,$P$2:$P$479,"none")&gt;=3),1,0))</f>
        <v/>
      </c>
    </row>
    <row r="456">
      <c r="A456" s="3" t="n">
        <v>157</v>
      </c>
      <c r="B456" s="4" t="inlineStr">
        <is>
          <t>Deelnemer 6</t>
        </is>
      </c>
      <c r="C456" s="4" t="inlineStr">
        <is>
          <t>lyrics</t>
        </is>
      </c>
      <c r="D456" s="4" t="inlineStr">
        <is>
          <t>2026-10-14T13:59:29.261Z</t>
        </is>
      </c>
      <c r="E456" s="3" t="n">
        <v>1</v>
      </c>
      <c r="F456" s="4" t="inlineStr">
        <is>
          <t>3 5 8 6 5 5 6 7</t>
        </is>
      </c>
      <c r="G456" s="3" t="n">
        <v>45</v>
      </c>
      <c r="H456" s="3" t="n">
        <v>43</v>
      </c>
      <c r="I456" s="3" t="inlineStr">
        <is>
          <t>false</t>
        </is>
      </c>
      <c r="J456" s="3" t="n">
        <v>2</v>
      </c>
      <c r="K456" s="3" t="n">
        <v>4015</v>
      </c>
      <c r="L456" s="3" t="n">
        <v>8</v>
      </c>
      <c r="M456" s="5" t="n">
        <v>1.8</v>
      </c>
      <c r="N456" s="3" t="n">
        <v>1</v>
      </c>
      <c r="O456" s="3" t="n">
        <v>9</v>
      </c>
      <c r="P456" s="6">
        <f>LOWER(TRIM(C456))</f>
        <v/>
      </c>
      <c r="Q456" s="6">
        <f>IF(I456="true",1,0)</f>
        <v/>
      </c>
      <c r="R456" s="7">
        <f>IF(K456="","",K456)</f>
        <v/>
      </c>
      <c r="S456" s="6">
        <f>IF(OR(H456="",H456&lt;8,H456&gt;72),"",J456)</f>
        <v/>
      </c>
      <c r="T456" s="6">
        <f>IF(OR(P456="lyrics",P456="instrumental"),1,IF(AND(P456="none",COUNTIFS($B$2:$B$479,B456,$P$2:$P$479,"none")&gt;=3),1,0))</f>
        <v/>
      </c>
    </row>
    <row r="457">
      <c r="A457" s="8" t="n">
        <v>157</v>
      </c>
      <c r="B457" s="9" t="inlineStr">
        <is>
          <t>Deelnemer 6</t>
        </is>
      </c>
      <c r="C457" s="9" t="inlineStr">
        <is>
          <t>lyrics</t>
        </is>
      </c>
      <c r="D457" s="9" t="inlineStr">
        <is>
          <t>2026-10-14T13:59:29.261Z</t>
        </is>
      </c>
      <c r="E457" s="8" t="n">
        <v>2</v>
      </c>
      <c r="F457" s="9" t="inlineStr">
        <is>
          <t>5 2 4 9 3 5 5 1</t>
        </is>
      </c>
      <c r="G457" s="8" t="n">
        <v>34</v>
      </c>
      <c r="H457" s="8" t="n">
        <v>34</v>
      </c>
      <c r="I457" s="8" t="inlineStr">
        <is>
          <t>true</t>
        </is>
      </c>
      <c r="J457" s="8" t="n">
        <v>0</v>
      </c>
      <c r="K457" s="8" t="n">
        <v>1910</v>
      </c>
      <c r="L457" s="8" t="n">
        <v>8</v>
      </c>
      <c r="M457" s="10" t="n">
        <v>1.8</v>
      </c>
      <c r="N457" s="8" t="n">
        <v>1</v>
      </c>
      <c r="O457" s="8" t="n">
        <v>9</v>
      </c>
      <c r="P457" s="6">
        <f>LOWER(TRIM(C457))</f>
        <v/>
      </c>
      <c r="Q457" s="6">
        <f>IF(I457="true",1,0)</f>
        <v/>
      </c>
      <c r="R457" s="7">
        <f>IF(K457="","",K457)</f>
        <v/>
      </c>
      <c r="S457" s="6">
        <f>IF(OR(H457="",H457&lt;8,H457&gt;72),"",J457)</f>
        <v/>
      </c>
      <c r="T457" s="6">
        <f>IF(OR(P457="lyrics",P457="instrumental"),1,IF(AND(P457="none",COUNTIFS($B$2:$B$479,B457,$P$2:$P$479,"none")&gt;=3),1,0))</f>
        <v/>
      </c>
    </row>
    <row r="458">
      <c r="A458" s="3" t="n">
        <v>157</v>
      </c>
      <c r="B458" s="4" t="inlineStr">
        <is>
          <t>Deelnemer 6</t>
        </is>
      </c>
      <c r="C458" s="4" t="inlineStr">
        <is>
          <t>lyrics</t>
        </is>
      </c>
      <c r="D458" s="4" t="inlineStr">
        <is>
          <t>2026-10-14T13:59:29.261Z</t>
        </is>
      </c>
      <c r="E458" s="3" t="n">
        <v>3</v>
      </c>
      <c r="F458" s="4" t="inlineStr">
        <is>
          <t>5 1 1 6 6 5 9 5</t>
        </is>
      </c>
      <c r="G458" s="3" t="n">
        <v>38</v>
      </c>
      <c r="H458" s="3" t="n">
        <v>37</v>
      </c>
      <c r="I458" s="3" t="inlineStr">
        <is>
          <t>false</t>
        </is>
      </c>
      <c r="J458" s="3" t="n">
        <v>1</v>
      </c>
      <c r="K458" s="3" t="n">
        <v>7099</v>
      </c>
      <c r="L458" s="3" t="n">
        <v>8</v>
      </c>
      <c r="M458" s="5" t="n">
        <v>1.8</v>
      </c>
      <c r="N458" s="3" t="n">
        <v>1</v>
      </c>
      <c r="O458" s="3" t="n">
        <v>9</v>
      </c>
      <c r="P458" s="6">
        <f>LOWER(TRIM(C458))</f>
        <v/>
      </c>
      <c r="Q458" s="6">
        <f>IF(I458="true",1,0)</f>
        <v/>
      </c>
      <c r="R458" s="7">
        <f>IF(K458="","",K458)</f>
        <v/>
      </c>
      <c r="S458" s="6">
        <f>IF(OR(H458="",H458&lt;8,H458&gt;72),"",J458)</f>
        <v/>
      </c>
      <c r="T458" s="6">
        <f>IF(OR(P458="lyrics",P458="instrumental"),1,IF(AND(P458="none",COUNTIFS($B$2:$B$479,B458,$P$2:$P$479,"none")&gt;=3),1,0))</f>
        <v/>
      </c>
    </row>
    <row r="459">
      <c r="A459" s="8" t="n">
        <v>158</v>
      </c>
      <c r="B459" s="9" t="inlineStr">
        <is>
          <t>Deelnemer 6</t>
        </is>
      </c>
      <c r="C459" s="9" t="inlineStr">
        <is>
          <t>lyrics</t>
        </is>
      </c>
      <c r="D459" s="9" t="inlineStr">
        <is>
          <t>2026-10-14T14:00:35.270Z</t>
        </is>
      </c>
      <c r="E459" s="8" t="n">
        <v>1</v>
      </c>
      <c r="F459" s="9" t="inlineStr">
        <is>
          <t>2 2 4 4 3 4 4 2</t>
        </is>
      </c>
      <c r="G459" s="8" t="n">
        <v>25</v>
      </c>
      <c r="H459" s="8" t="n">
        <v>25</v>
      </c>
      <c r="I459" s="8" t="inlineStr">
        <is>
          <t>true</t>
        </is>
      </c>
      <c r="J459" s="8" t="n">
        <v>0</v>
      </c>
      <c r="K459" s="8" t="n">
        <v>3368</v>
      </c>
      <c r="L459" s="8" t="n">
        <v>8</v>
      </c>
      <c r="M459" s="10" t="n">
        <v>1.8</v>
      </c>
      <c r="N459" s="8" t="n">
        <v>1</v>
      </c>
      <c r="O459" s="8" t="n">
        <v>9</v>
      </c>
      <c r="P459" s="6">
        <f>LOWER(TRIM(C459))</f>
        <v/>
      </c>
      <c r="Q459" s="6">
        <f>IF(I459="true",1,0)</f>
        <v/>
      </c>
      <c r="R459" s="7">
        <f>IF(K459="","",K459)</f>
        <v/>
      </c>
      <c r="S459" s="6">
        <f>IF(OR(H459="",H459&lt;8,H459&gt;72),"",J459)</f>
        <v/>
      </c>
      <c r="T459" s="6">
        <f>IF(OR(P459="lyrics",P459="instrumental"),1,IF(AND(P459="none",COUNTIFS($B$2:$B$479,B459,$P$2:$P$479,"none")&gt;=3),1,0))</f>
        <v/>
      </c>
    </row>
    <row r="460">
      <c r="A460" s="3" t="n">
        <v>158</v>
      </c>
      <c r="B460" s="4" t="inlineStr">
        <is>
          <t>Deelnemer 6</t>
        </is>
      </c>
      <c r="C460" s="4" t="inlineStr">
        <is>
          <t>lyrics</t>
        </is>
      </c>
      <c r="D460" s="4" t="inlineStr">
        <is>
          <t>2026-10-14T14:00:35.270Z</t>
        </is>
      </c>
      <c r="E460" s="3" t="n">
        <v>2</v>
      </c>
      <c r="F460" s="4" t="inlineStr">
        <is>
          <t>2 7 6 3 3 9 1 5</t>
        </is>
      </c>
      <c r="G460" s="3" t="n">
        <v>36</v>
      </c>
      <c r="H460" s="3" t="n">
        <v>36</v>
      </c>
      <c r="I460" s="3" t="inlineStr">
        <is>
          <t>true</t>
        </is>
      </c>
      <c r="J460" s="3" t="n">
        <v>0</v>
      </c>
      <c r="K460" s="3" t="n">
        <v>1517</v>
      </c>
      <c r="L460" s="3" t="n">
        <v>8</v>
      </c>
      <c r="M460" s="5" t="n">
        <v>1.8</v>
      </c>
      <c r="N460" s="3" t="n">
        <v>1</v>
      </c>
      <c r="O460" s="3" t="n">
        <v>9</v>
      </c>
      <c r="P460" s="6">
        <f>LOWER(TRIM(C460))</f>
        <v/>
      </c>
      <c r="Q460" s="6">
        <f>IF(I460="true",1,0)</f>
        <v/>
      </c>
      <c r="R460" s="7">
        <f>IF(K460="","",K460)</f>
        <v/>
      </c>
      <c r="S460" s="6">
        <f>IF(OR(H460="",H460&lt;8,H460&gt;72),"",J460)</f>
        <v/>
      </c>
      <c r="T460" s="6">
        <f>IF(OR(P460="lyrics",P460="instrumental"),1,IF(AND(P460="none",COUNTIFS($B$2:$B$479,B460,$P$2:$P$479,"none")&gt;=3),1,0))</f>
        <v/>
      </c>
    </row>
    <row r="461">
      <c r="A461" s="8" t="n">
        <v>158</v>
      </c>
      <c r="B461" s="9" t="inlineStr">
        <is>
          <t>Deelnemer 6</t>
        </is>
      </c>
      <c r="C461" s="9" t="inlineStr">
        <is>
          <t>lyrics</t>
        </is>
      </c>
      <c r="D461" s="9" t="inlineStr">
        <is>
          <t>2026-10-14T14:00:35.270Z</t>
        </is>
      </c>
      <c r="E461" s="8" t="n">
        <v>3</v>
      </c>
      <c r="F461" s="9" t="inlineStr">
        <is>
          <t>8 1 5 6 6 7 2 4</t>
        </is>
      </c>
      <c r="G461" s="8" t="n">
        <v>39</v>
      </c>
      <c r="H461" s="8" t="n">
        <v>39</v>
      </c>
      <c r="I461" s="8" t="inlineStr">
        <is>
          <t>true</t>
        </is>
      </c>
      <c r="J461" s="8" t="n">
        <v>0</v>
      </c>
      <c r="K461" s="8" t="n">
        <v>2281</v>
      </c>
      <c r="L461" s="8" t="n">
        <v>8</v>
      </c>
      <c r="M461" s="10" t="n">
        <v>1.8</v>
      </c>
      <c r="N461" s="8" t="n">
        <v>1</v>
      </c>
      <c r="O461" s="8" t="n">
        <v>9</v>
      </c>
      <c r="P461" s="6">
        <f>LOWER(TRIM(C461))</f>
        <v/>
      </c>
      <c r="Q461" s="6">
        <f>IF(I461="true",1,0)</f>
        <v/>
      </c>
      <c r="R461" s="7">
        <f>IF(K461="","",K461)</f>
        <v/>
      </c>
      <c r="S461" s="6">
        <f>IF(OR(H461="",H461&lt;8,H461&gt;72),"",J461)</f>
        <v/>
      </c>
      <c r="T461" s="6">
        <f>IF(OR(P461="lyrics",P461="instrumental"),1,IF(AND(P461="none",COUNTIFS($B$2:$B$479,B461,$P$2:$P$479,"none")&gt;=3),1,0))</f>
        <v/>
      </c>
    </row>
    <row r="462">
      <c r="A462" s="3" t="n">
        <v>159</v>
      </c>
      <c r="B462" s="4" t="inlineStr">
        <is>
          <t>Deelnemer 7</t>
        </is>
      </c>
      <c r="C462" s="4" t="inlineStr">
        <is>
          <t>instrumental</t>
        </is>
      </c>
      <c r="D462" s="4" t="inlineStr">
        <is>
          <t>2026-10-14T14:03:27.237Z</t>
        </is>
      </c>
      <c r="E462" s="3" t="n">
        <v>1</v>
      </c>
      <c r="F462" s="4" t="inlineStr">
        <is>
          <t>1 5 1 2 5 3 6 9</t>
        </is>
      </c>
      <c r="G462" s="3" t="n">
        <v>32</v>
      </c>
      <c r="H462" s="3" t="n">
        <v>32</v>
      </c>
      <c r="I462" s="3" t="inlineStr">
        <is>
          <t>true</t>
        </is>
      </c>
      <c r="J462" s="3" t="n">
        <v>0</v>
      </c>
      <c r="K462" s="3" t="n">
        <v>2281</v>
      </c>
      <c r="L462" s="3" t="n">
        <v>8</v>
      </c>
      <c r="M462" s="5" t="n">
        <v>1.8</v>
      </c>
      <c r="N462" s="3" t="n">
        <v>1</v>
      </c>
      <c r="O462" s="3" t="n">
        <v>9</v>
      </c>
      <c r="P462" s="6">
        <f>LOWER(TRIM(C462))</f>
        <v/>
      </c>
      <c r="Q462" s="6">
        <f>IF(I462="true",1,0)</f>
        <v/>
      </c>
      <c r="R462" s="7">
        <f>IF(K462="","",K462)</f>
        <v/>
      </c>
      <c r="S462" s="6">
        <f>IF(OR(H462="",H462&lt;8,H462&gt;72),"",J462)</f>
        <v/>
      </c>
      <c r="T462" s="6">
        <f>IF(OR(P462="lyrics",P462="instrumental"),1,IF(AND(P462="none",COUNTIFS($B$2:$B$479,B462,$P$2:$P$479,"none")&gt;=3),1,0))</f>
        <v/>
      </c>
    </row>
    <row r="463">
      <c r="A463" s="8" t="n">
        <v>159</v>
      </c>
      <c r="B463" s="9" t="inlineStr">
        <is>
          <t>Deelnemer 7</t>
        </is>
      </c>
      <c r="C463" s="9" t="inlineStr">
        <is>
          <t>instrumental</t>
        </is>
      </c>
      <c r="D463" s="9" t="inlineStr">
        <is>
          <t>2026-10-14T14:03:27.237Z</t>
        </is>
      </c>
      <c r="E463" s="8" t="n">
        <v>2</v>
      </c>
      <c r="F463" s="9" t="inlineStr">
        <is>
          <t>2 4 5 2 7 2 4 5</t>
        </is>
      </c>
      <c r="G463" s="8" t="n">
        <v>31</v>
      </c>
      <c r="H463" s="8" t="n">
        <v>31</v>
      </c>
      <c r="I463" s="8" t="inlineStr">
        <is>
          <t>true</t>
        </is>
      </c>
      <c r="J463" s="8" t="n">
        <v>0</v>
      </c>
      <c r="K463" s="8" t="n">
        <v>1808</v>
      </c>
      <c r="L463" s="8" t="n">
        <v>8</v>
      </c>
      <c r="M463" s="10" t="n">
        <v>1.8</v>
      </c>
      <c r="N463" s="8" t="n">
        <v>1</v>
      </c>
      <c r="O463" s="8" t="n">
        <v>9</v>
      </c>
      <c r="P463" s="6">
        <f>LOWER(TRIM(C463))</f>
        <v/>
      </c>
      <c r="Q463" s="6">
        <f>IF(I463="true",1,0)</f>
        <v/>
      </c>
      <c r="R463" s="7">
        <f>IF(K463="","",K463)</f>
        <v/>
      </c>
      <c r="S463" s="6">
        <f>IF(OR(H463="",H463&lt;8,H463&gt;72),"",J463)</f>
        <v/>
      </c>
      <c r="T463" s="6">
        <f>IF(OR(P463="lyrics",P463="instrumental"),1,IF(AND(P463="none",COUNTIFS($B$2:$B$479,B463,$P$2:$P$479,"none")&gt;=3),1,0))</f>
        <v/>
      </c>
    </row>
    <row r="464">
      <c r="A464" s="3" t="n">
        <v>159</v>
      </c>
      <c r="B464" s="4" t="inlineStr">
        <is>
          <t>Deelnemer 7</t>
        </is>
      </c>
      <c r="C464" s="4" t="inlineStr">
        <is>
          <t>instrumental</t>
        </is>
      </c>
      <c r="D464" s="4" t="inlineStr">
        <is>
          <t>2026-10-14T14:03:27.237Z</t>
        </is>
      </c>
      <c r="E464" s="3" t="n">
        <v>3</v>
      </c>
      <c r="F464" s="4" t="inlineStr">
        <is>
          <t>2 2 4 2 3 5 6 4</t>
        </is>
      </c>
      <c r="G464" s="3" t="n">
        <v>28</v>
      </c>
      <c r="H464" s="3" t="n">
        <v>28</v>
      </c>
      <c r="I464" s="3" t="inlineStr">
        <is>
          <t>true</t>
        </is>
      </c>
      <c r="J464" s="3" t="n">
        <v>0</v>
      </c>
      <c r="K464" s="3" t="n">
        <v>2426</v>
      </c>
      <c r="L464" s="3" t="n">
        <v>8</v>
      </c>
      <c r="M464" s="5" t="n">
        <v>1.8</v>
      </c>
      <c r="N464" s="3" t="n">
        <v>1</v>
      </c>
      <c r="O464" s="3" t="n">
        <v>9</v>
      </c>
      <c r="P464" s="6">
        <f>LOWER(TRIM(C464))</f>
        <v/>
      </c>
      <c r="Q464" s="6">
        <f>IF(I464="true",1,0)</f>
        <v/>
      </c>
      <c r="R464" s="7">
        <f>IF(K464="","",K464)</f>
        <v/>
      </c>
      <c r="S464" s="6">
        <f>IF(OR(H464="",H464&lt;8,H464&gt;72),"",J464)</f>
        <v/>
      </c>
      <c r="T464" s="6">
        <f>IF(OR(P464="lyrics",P464="instrumental"),1,IF(AND(P464="none",COUNTIFS($B$2:$B$479,B464,$P$2:$P$479,"none")&gt;=3),1,0))</f>
        <v/>
      </c>
    </row>
    <row r="465">
      <c r="A465" s="8" t="n">
        <v>160</v>
      </c>
      <c r="B465" s="9" t="inlineStr">
        <is>
          <t>Deelnemer 7</t>
        </is>
      </c>
      <c r="C465" s="9" t="inlineStr">
        <is>
          <t>instrumental</t>
        </is>
      </c>
      <c r="D465" s="9" t="inlineStr">
        <is>
          <t>2026-10-14T14:04:36.302Z</t>
        </is>
      </c>
      <c r="E465" s="8" t="n">
        <v>1</v>
      </c>
      <c r="F465" s="9" t="inlineStr">
        <is>
          <t>6 6 9 7 8 4 5 5</t>
        </is>
      </c>
      <c r="G465" s="8" t="n">
        <v>50</v>
      </c>
      <c r="H465" s="8" t="n">
        <v>49</v>
      </c>
      <c r="I465" s="8" t="inlineStr">
        <is>
          <t>false</t>
        </is>
      </c>
      <c r="J465" s="8" t="n">
        <v>1</v>
      </c>
      <c r="K465" s="8" t="n">
        <v>2313</v>
      </c>
      <c r="L465" s="8" t="n">
        <v>8</v>
      </c>
      <c r="M465" s="10" t="n">
        <v>1.8</v>
      </c>
      <c r="N465" s="8" t="n">
        <v>1</v>
      </c>
      <c r="O465" s="8" t="n">
        <v>9</v>
      </c>
      <c r="P465" s="6">
        <f>LOWER(TRIM(C465))</f>
        <v/>
      </c>
      <c r="Q465" s="6">
        <f>IF(I465="true",1,0)</f>
        <v/>
      </c>
      <c r="R465" s="7">
        <f>IF(K465="","",K465)</f>
        <v/>
      </c>
      <c r="S465" s="6">
        <f>IF(OR(H465="",H465&lt;8,H465&gt;72),"",J465)</f>
        <v/>
      </c>
      <c r="T465" s="6">
        <f>IF(OR(P465="lyrics",P465="instrumental"),1,IF(AND(P465="none",COUNTIFS($B$2:$B$479,B465,$P$2:$P$479,"none")&gt;=3),1,0))</f>
        <v/>
      </c>
    </row>
    <row r="466">
      <c r="A466" s="3" t="n">
        <v>160</v>
      </c>
      <c r="B466" s="4" t="inlineStr">
        <is>
          <t>Deelnemer 7</t>
        </is>
      </c>
      <c r="C466" s="4" t="inlineStr">
        <is>
          <t>instrumental</t>
        </is>
      </c>
      <c r="D466" s="4" t="inlineStr">
        <is>
          <t>2026-10-14T14:04:36.302Z</t>
        </is>
      </c>
      <c r="E466" s="3" t="n">
        <v>2</v>
      </c>
      <c r="F466" s="4" t="inlineStr">
        <is>
          <t>6 6 3 2 6 4 3 2</t>
        </is>
      </c>
      <c r="G466" s="3" t="n">
        <v>32</v>
      </c>
      <c r="H466" s="3" t="n">
        <v>32</v>
      </c>
      <c r="I466" s="3" t="inlineStr">
        <is>
          <t>true</t>
        </is>
      </c>
      <c r="J466" s="3" t="n">
        <v>0</v>
      </c>
      <c r="K466" s="3" t="n">
        <v>1654</v>
      </c>
      <c r="L466" s="3" t="n">
        <v>8</v>
      </c>
      <c r="M466" s="5" t="n">
        <v>1.8</v>
      </c>
      <c r="N466" s="3" t="n">
        <v>1</v>
      </c>
      <c r="O466" s="3" t="n">
        <v>9</v>
      </c>
      <c r="P466" s="6">
        <f>LOWER(TRIM(C466))</f>
        <v/>
      </c>
      <c r="Q466" s="6">
        <f>IF(I466="true",1,0)</f>
        <v/>
      </c>
      <c r="R466" s="7">
        <f>IF(K466="","",K466)</f>
        <v/>
      </c>
      <c r="S466" s="6">
        <f>IF(OR(H466="",H466&lt;8,H466&gt;72),"",J466)</f>
        <v/>
      </c>
      <c r="T466" s="6">
        <f>IF(OR(P466="lyrics",P466="instrumental"),1,IF(AND(P466="none",COUNTIFS($B$2:$B$479,B466,$P$2:$P$479,"none")&gt;=3),1,0))</f>
        <v/>
      </c>
    </row>
    <row r="467">
      <c r="A467" s="8" t="n">
        <v>160</v>
      </c>
      <c r="B467" s="9" t="inlineStr">
        <is>
          <t>Deelnemer 7</t>
        </is>
      </c>
      <c r="C467" s="9" t="inlineStr">
        <is>
          <t>instrumental</t>
        </is>
      </c>
      <c r="D467" s="9" t="inlineStr">
        <is>
          <t>2026-10-14T14:04:36.302Z</t>
        </is>
      </c>
      <c r="E467" s="8" t="n">
        <v>3</v>
      </c>
      <c r="F467" s="9" t="inlineStr">
        <is>
          <t>1 8 8 4 5 1 9 4</t>
        </is>
      </c>
      <c r="G467" s="8" t="n">
        <v>40</v>
      </c>
      <c r="H467" s="8" t="n">
        <v>37</v>
      </c>
      <c r="I467" s="8" t="inlineStr">
        <is>
          <t>false</t>
        </is>
      </c>
      <c r="J467" s="8" t="n">
        <v>3</v>
      </c>
      <c r="K467" s="8" t="n">
        <v>5409</v>
      </c>
      <c r="L467" s="8" t="n">
        <v>8</v>
      </c>
      <c r="M467" s="10" t="n">
        <v>1.8</v>
      </c>
      <c r="N467" s="8" t="n">
        <v>1</v>
      </c>
      <c r="O467" s="8" t="n">
        <v>9</v>
      </c>
      <c r="P467" s="6">
        <f>LOWER(TRIM(C467))</f>
        <v/>
      </c>
      <c r="Q467" s="6">
        <f>IF(I467="true",1,0)</f>
        <v/>
      </c>
      <c r="R467" s="7">
        <f>IF(K467="","",K467)</f>
        <v/>
      </c>
      <c r="S467" s="6">
        <f>IF(OR(H467="",H467&lt;8,H467&gt;72),"",J467)</f>
        <v/>
      </c>
      <c r="T467" s="6">
        <f>IF(OR(P467="lyrics",P467="instrumental"),1,IF(AND(P467="none",COUNTIFS($B$2:$B$479,B467,$P$2:$P$479,"none")&gt;=3),1,0))</f>
        <v/>
      </c>
    </row>
    <row r="468">
      <c r="A468" s="3" t="n">
        <v>161</v>
      </c>
      <c r="B468" s="4" t="inlineStr">
        <is>
          <t>Deelnemer 7</t>
        </is>
      </c>
      <c r="C468" s="4" t="inlineStr">
        <is>
          <t>lyrics</t>
        </is>
      </c>
      <c r="D468" s="4" t="inlineStr">
        <is>
          <t>2026-10-14T14:05:58.846Z</t>
        </is>
      </c>
      <c r="E468" s="3" t="n">
        <v>1</v>
      </c>
      <c r="F468" s="4" t="inlineStr">
        <is>
          <t>4 8 7 2 3 5 3 7</t>
        </is>
      </c>
      <c r="G468" s="3" t="n">
        <v>39</v>
      </c>
      <c r="H468" s="3" t="n">
        <v>39</v>
      </c>
      <c r="I468" s="3" t="inlineStr">
        <is>
          <t>true</t>
        </is>
      </c>
      <c r="J468" s="3" t="n">
        <v>0</v>
      </c>
      <c r="K468" s="3" t="n">
        <v>2688</v>
      </c>
      <c r="L468" s="3" t="n">
        <v>8</v>
      </c>
      <c r="M468" s="5" t="n">
        <v>1.8</v>
      </c>
      <c r="N468" s="3" t="n">
        <v>1</v>
      </c>
      <c r="O468" s="3" t="n">
        <v>9</v>
      </c>
      <c r="P468" s="6">
        <f>LOWER(TRIM(C468))</f>
        <v/>
      </c>
      <c r="Q468" s="6">
        <f>IF(I468="true",1,0)</f>
        <v/>
      </c>
      <c r="R468" s="7">
        <f>IF(K468="","",K468)</f>
        <v/>
      </c>
      <c r="S468" s="6">
        <f>IF(OR(H468="",H468&lt;8,H468&gt;72),"",J468)</f>
        <v/>
      </c>
      <c r="T468" s="6">
        <f>IF(OR(P468="lyrics",P468="instrumental"),1,IF(AND(P468="none",COUNTIFS($B$2:$B$479,B468,$P$2:$P$479,"none")&gt;=3),1,0))</f>
        <v/>
      </c>
    </row>
    <row r="469">
      <c r="A469" s="8" t="n">
        <v>161</v>
      </c>
      <c r="B469" s="9" t="inlineStr">
        <is>
          <t>Deelnemer 7</t>
        </is>
      </c>
      <c r="C469" s="9" t="inlineStr">
        <is>
          <t>lyrics</t>
        </is>
      </c>
      <c r="D469" s="9" t="inlineStr">
        <is>
          <t>2026-10-14T14:05:58.846Z</t>
        </is>
      </c>
      <c r="E469" s="8" t="n">
        <v>2</v>
      </c>
      <c r="F469" s="9" t="inlineStr">
        <is>
          <t>7 4 4 2 1 8 6 8</t>
        </is>
      </c>
      <c r="G469" s="8" t="n">
        <v>40</v>
      </c>
      <c r="H469" s="8" t="n">
        <v>40</v>
      </c>
      <c r="I469" s="8" t="inlineStr">
        <is>
          <t>true</t>
        </is>
      </c>
      <c r="J469" s="8" t="n">
        <v>0</v>
      </c>
      <c r="K469" s="8" t="n">
        <v>2879</v>
      </c>
      <c r="L469" s="8" t="n">
        <v>8</v>
      </c>
      <c r="M469" s="10" t="n">
        <v>1.8</v>
      </c>
      <c r="N469" s="8" t="n">
        <v>1</v>
      </c>
      <c r="O469" s="8" t="n">
        <v>9</v>
      </c>
      <c r="P469" s="6">
        <f>LOWER(TRIM(C469))</f>
        <v/>
      </c>
      <c r="Q469" s="6">
        <f>IF(I469="true",1,0)</f>
        <v/>
      </c>
      <c r="R469" s="7">
        <f>IF(K469="","",K469)</f>
        <v/>
      </c>
      <c r="S469" s="6">
        <f>IF(OR(H469="",H469&lt;8,H469&gt;72),"",J469)</f>
        <v/>
      </c>
      <c r="T469" s="6">
        <f>IF(OR(P469="lyrics",P469="instrumental"),1,IF(AND(P469="none",COUNTIFS($B$2:$B$479,B469,$P$2:$P$479,"none")&gt;=3),1,0))</f>
        <v/>
      </c>
    </row>
    <row r="470">
      <c r="A470" s="3" t="n">
        <v>161</v>
      </c>
      <c r="B470" s="4" t="inlineStr">
        <is>
          <t>Deelnemer 7</t>
        </is>
      </c>
      <c r="C470" s="4" t="inlineStr">
        <is>
          <t>lyrics</t>
        </is>
      </c>
      <c r="D470" s="4" t="inlineStr">
        <is>
          <t>2026-10-14T14:05:58.846Z</t>
        </is>
      </c>
      <c r="E470" s="3" t="n">
        <v>3</v>
      </c>
      <c r="F470" s="4" t="inlineStr">
        <is>
          <t>3 2 7 3 3 7 3 2</t>
        </is>
      </c>
      <c r="G470" s="3" t="n">
        <v>30</v>
      </c>
      <c r="H470" s="3" t="n">
        <v>35</v>
      </c>
      <c r="I470" s="3" t="inlineStr">
        <is>
          <t>false</t>
        </is>
      </c>
      <c r="J470" s="3" t="n">
        <v>5</v>
      </c>
      <c r="K470" s="3" t="n">
        <v>2482</v>
      </c>
      <c r="L470" s="3" t="n">
        <v>8</v>
      </c>
      <c r="M470" s="5" t="n">
        <v>1.8</v>
      </c>
      <c r="N470" s="3" t="n">
        <v>1</v>
      </c>
      <c r="O470" s="3" t="n">
        <v>9</v>
      </c>
      <c r="P470" s="6">
        <f>LOWER(TRIM(C470))</f>
        <v/>
      </c>
      <c r="Q470" s="6">
        <f>IF(I470="true",1,0)</f>
        <v/>
      </c>
      <c r="R470" s="7">
        <f>IF(K470="","",K470)</f>
        <v/>
      </c>
      <c r="S470" s="6">
        <f>IF(OR(H470="",H470&lt;8,H470&gt;72),"",J470)</f>
        <v/>
      </c>
      <c r="T470" s="6">
        <f>IF(OR(P470="lyrics",P470="instrumental"),1,IF(AND(P470="none",COUNTIFS($B$2:$B$479,B470,$P$2:$P$479,"none")&gt;=3),1,0))</f>
        <v/>
      </c>
    </row>
    <row r="471">
      <c r="A471" s="8" t="n">
        <v>162</v>
      </c>
      <c r="B471" s="9" t="inlineStr">
        <is>
          <t>Deelnemer 7</t>
        </is>
      </c>
      <c r="C471" s="9" t="inlineStr">
        <is>
          <t>lyrics</t>
        </is>
      </c>
      <c r="D471" s="9" t="inlineStr">
        <is>
          <t>2026-10-14T14:07:39.342Z</t>
        </is>
      </c>
      <c r="E471" s="8" t="n">
        <v>1</v>
      </c>
      <c r="F471" s="9" t="inlineStr">
        <is>
          <t>1 4 6 8 2 6 8 8</t>
        </is>
      </c>
      <c r="G471" s="8" t="n">
        <v>43</v>
      </c>
      <c r="H471" s="8" t="n">
        <v>43</v>
      </c>
      <c r="I471" s="8" t="inlineStr">
        <is>
          <t>true</t>
        </is>
      </c>
      <c r="J471" s="8" t="n">
        <v>0</v>
      </c>
      <c r="K471" s="8" t="n">
        <v>5254</v>
      </c>
      <c r="L471" s="8" t="n">
        <v>8</v>
      </c>
      <c r="M471" s="10" t="n">
        <v>1.8</v>
      </c>
      <c r="N471" s="8" t="n">
        <v>1</v>
      </c>
      <c r="O471" s="8" t="n">
        <v>9</v>
      </c>
      <c r="P471" s="6">
        <f>LOWER(TRIM(C471))</f>
        <v/>
      </c>
      <c r="Q471" s="6">
        <f>IF(I471="true",1,0)</f>
        <v/>
      </c>
      <c r="R471" s="7">
        <f>IF(K471="","",K471)</f>
        <v/>
      </c>
      <c r="S471" s="6">
        <f>IF(OR(H471="",H471&lt;8,H471&gt;72),"",J471)</f>
        <v/>
      </c>
      <c r="T471" s="6">
        <f>IF(OR(P471="lyrics",P471="instrumental"),1,IF(AND(P471="none",COUNTIFS($B$2:$B$479,B471,$P$2:$P$479,"none")&gt;=3),1,0))</f>
        <v/>
      </c>
    </row>
    <row r="472">
      <c r="A472" s="3" t="n">
        <v>162</v>
      </c>
      <c r="B472" s="4" t="inlineStr">
        <is>
          <t>Deelnemer 7</t>
        </is>
      </c>
      <c r="C472" s="4" t="inlineStr">
        <is>
          <t>lyrics</t>
        </is>
      </c>
      <c r="D472" s="4" t="inlineStr">
        <is>
          <t>2026-10-14T14:07:39.342Z</t>
        </is>
      </c>
      <c r="E472" s="3" t="n">
        <v>2</v>
      </c>
      <c r="F472" s="4" t="inlineStr">
        <is>
          <t>9 2 6 7 8 3 1 9</t>
        </is>
      </c>
      <c r="G472" s="3" t="n">
        <v>45</v>
      </c>
      <c r="H472" s="3" t="n">
        <v>45</v>
      </c>
      <c r="I472" s="3" t="inlineStr">
        <is>
          <t>true</t>
        </is>
      </c>
      <c r="J472" s="3" t="n">
        <v>0</v>
      </c>
      <c r="K472" s="3" t="n">
        <v>6988</v>
      </c>
      <c r="L472" s="3" t="n">
        <v>8</v>
      </c>
      <c r="M472" s="5" t="n">
        <v>1.8</v>
      </c>
      <c r="N472" s="3" t="n">
        <v>1</v>
      </c>
      <c r="O472" s="3" t="n">
        <v>9</v>
      </c>
      <c r="P472" s="6">
        <f>LOWER(TRIM(C472))</f>
        <v/>
      </c>
      <c r="Q472" s="6">
        <f>IF(I472="true",1,0)</f>
        <v/>
      </c>
      <c r="R472" s="7">
        <f>IF(K472="","",K472)</f>
        <v/>
      </c>
      <c r="S472" s="6">
        <f>IF(OR(H472="",H472&lt;8,H472&gt;72),"",J472)</f>
        <v/>
      </c>
      <c r="T472" s="6">
        <f>IF(OR(P472="lyrics",P472="instrumental"),1,IF(AND(P472="none",COUNTIFS($B$2:$B$479,B472,$P$2:$P$479,"none")&gt;=3),1,0))</f>
        <v/>
      </c>
    </row>
    <row r="473">
      <c r="A473" s="8" t="n">
        <v>162</v>
      </c>
      <c r="B473" s="9" t="inlineStr">
        <is>
          <t>Deelnemer 7</t>
        </is>
      </c>
      <c r="C473" s="9" t="inlineStr">
        <is>
          <t>lyrics</t>
        </is>
      </c>
      <c r="D473" s="9" t="inlineStr">
        <is>
          <t>2026-10-14T14:07:39.342Z</t>
        </is>
      </c>
      <c r="E473" s="8" t="n">
        <v>3</v>
      </c>
      <c r="F473" s="9" t="inlineStr">
        <is>
          <t>2 7 6 7 5 1 5 4</t>
        </is>
      </c>
      <c r="G473" s="8" t="n">
        <v>37</v>
      </c>
      <c r="H473" s="8" t="n">
        <v>37</v>
      </c>
      <c r="I473" s="8" t="inlineStr">
        <is>
          <t>true</t>
        </is>
      </c>
      <c r="J473" s="8" t="n">
        <v>0</v>
      </c>
      <c r="K473" s="8" t="n">
        <v>2036</v>
      </c>
      <c r="L473" s="8" t="n">
        <v>8</v>
      </c>
      <c r="M473" s="10" t="n">
        <v>1.8</v>
      </c>
      <c r="N473" s="8" t="n">
        <v>1</v>
      </c>
      <c r="O473" s="8" t="n">
        <v>9</v>
      </c>
      <c r="P473" s="6">
        <f>LOWER(TRIM(C473))</f>
        <v/>
      </c>
      <c r="Q473" s="6">
        <f>IF(I473="true",1,0)</f>
        <v/>
      </c>
      <c r="R473" s="7">
        <f>IF(K473="","",K473)</f>
        <v/>
      </c>
      <c r="S473" s="6">
        <f>IF(OR(H473="",H473&lt;8,H473&gt;72),"",J473)</f>
        <v/>
      </c>
      <c r="T473" s="6">
        <f>IF(OR(P473="lyrics",P473="instrumental"),1,IF(AND(P473="none",COUNTIFS($B$2:$B$479,B473,$P$2:$P$479,"none")&gt;=3),1,0))</f>
        <v/>
      </c>
    </row>
    <row r="474">
      <c r="A474" s="3" t="n">
        <v>163</v>
      </c>
      <c r="B474" s="4" t="inlineStr">
        <is>
          <t>Deelnemer 7</t>
        </is>
      </c>
      <c r="C474" s="4" t="inlineStr">
        <is>
          <t>lyrics</t>
        </is>
      </c>
      <c r="D474" s="4" t="inlineStr">
        <is>
          <t>2026-10-14T14:08:57.774Z</t>
        </is>
      </c>
      <c r="E474" s="3" t="n">
        <v>1</v>
      </c>
      <c r="F474" s="4" t="inlineStr">
        <is>
          <t>7 8 7 3 7 2 9 5</t>
        </is>
      </c>
      <c r="G474" s="3" t="n">
        <v>48</v>
      </c>
      <c r="H474" s="3" t="n">
        <v>45</v>
      </c>
      <c r="I474" s="3" t="inlineStr">
        <is>
          <t>false</t>
        </is>
      </c>
      <c r="J474" s="3" t="n">
        <v>3</v>
      </c>
      <c r="K474" s="3" t="n">
        <v>4854</v>
      </c>
      <c r="L474" s="3" t="n">
        <v>8</v>
      </c>
      <c r="M474" s="5" t="n">
        <v>1.8</v>
      </c>
      <c r="N474" s="3" t="n">
        <v>1</v>
      </c>
      <c r="O474" s="3" t="n">
        <v>9</v>
      </c>
      <c r="P474" s="6">
        <f>LOWER(TRIM(C474))</f>
        <v/>
      </c>
      <c r="Q474" s="6">
        <f>IF(I474="true",1,0)</f>
        <v/>
      </c>
      <c r="R474" s="7">
        <f>IF(K474="","",K474)</f>
        <v/>
      </c>
      <c r="S474" s="6">
        <f>IF(OR(H474="",H474&lt;8,H474&gt;72),"",J474)</f>
        <v/>
      </c>
      <c r="T474" s="6">
        <f>IF(OR(P474="lyrics",P474="instrumental"),1,IF(AND(P474="none",COUNTIFS($B$2:$B$479,B474,$P$2:$P$479,"none")&gt;=3),1,0))</f>
        <v/>
      </c>
    </row>
    <row r="475">
      <c r="A475" s="8" t="n">
        <v>163</v>
      </c>
      <c r="B475" s="9" t="inlineStr">
        <is>
          <t>Deelnemer 7</t>
        </is>
      </c>
      <c r="C475" s="9" t="inlineStr">
        <is>
          <t>lyrics</t>
        </is>
      </c>
      <c r="D475" s="9" t="inlineStr">
        <is>
          <t>2026-10-14T14:08:57.774Z</t>
        </is>
      </c>
      <c r="E475" s="8" t="n">
        <v>2</v>
      </c>
      <c r="F475" s="9" t="inlineStr">
        <is>
          <t>1 7 6 5 6 2 2 8</t>
        </is>
      </c>
      <c r="G475" s="8" t="n">
        <v>37</v>
      </c>
      <c r="H475" s="8" t="n">
        <v>37</v>
      </c>
      <c r="I475" s="8" t="inlineStr">
        <is>
          <t>true</t>
        </is>
      </c>
      <c r="J475" s="8" t="n">
        <v>0</v>
      </c>
      <c r="K475" s="8" t="n">
        <v>3789</v>
      </c>
      <c r="L475" s="8" t="n">
        <v>8</v>
      </c>
      <c r="M475" s="10" t="n">
        <v>1.8</v>
      </c>
      <c r="N475" s="8" t="n">
        <v>1</v>
      </c>
      <c r="O475" s="8" t="n">
        <v>9</v>
      </c>
      <c r="P475" s="6">
        <f>LOWER(TRIM(C475))</f>
        <v/>
      </c>
      <c r="Q475" s="6">
        <f>IF(I475="true",1,0)</f>
        <v/>
      </c>
      <c r="R475" s="7">
        <f>IF(K475="","",K475)</f>
        <v/>
      </c>
      <c r="S475" s="6">
        <f>IF(OR(H475="",H475&lt;8,H475&gt;72),"",J475)</f>
        <v/>
      </c>
      <c r="T475" s="6">
        <f>IF(OR(P475="lyrics",P475="instrumental"),1,IF(AND(P475="none",COUNTIFS($B$2:$B$479,B475,$P$2:$P$479,"none")&gt;=3),1,0))</f>
        <v/>
      </c>
    </row>
    <row r="476">
      <c r="A476" s="3" t="n">
        <v>163</v>
      </c>
      <c r="B476" s="4" t="inlineStr">
        <is>
          <t>Deelnemer 7</t>
        </is>
      </c>
      <c r="C476" s="4" t="inlineStr">
        <is>
          <t>lyrics</t>
        </is>
      </c>
      <c r="D476" s="4" t="inlineStr">
        <is>
          <t>2026-10-14T14:08:57.774Z</t>
        </is>
      </c>
      <c r="E476" s="3" t="n">
        <v>3</v>
      </c>
      <c r="F476" s="4" t="inlineStr">
        <is>
          <t>6 9 5 5 4 2 4 7</t>
        </is>
      </c>
      <c r="G476" s="3" t="n">
        <v>42</v>
      </c>
      <c r="H476" s="3" t="n">
        <v>37</v>
      </c>
      <c r="I476" s="3" t="inlineStr">
        <is>
          <t>false</t>
        </is>
      </c>
      <c r="J476" s="3" t="n">
        <v>5</v>
      </c>
      <c r="K476" s="3" t="n">
        <v>2146</v>
      </c>
      <c r="L476" s="3" t="n">
        <v>8</v>
      </c>
      <c r="M476" s="5" t="n">
        <v>1.8</v>
      </c>
      <c r="N476" s="3" t="n">
        <v>1</v>
      </c>
      <c r="O476" s="3" t="n">
        <v>9</v>
      </c>
      <c r="P476" s="6">
        <f>LOWER(TRIM(C476))</f>
        <v/>
      </c>
      <c r="Q476" s="6">
        <f>IF(I476="true",1,0)</f>
        <v/>
      </c>
      <c r="R476" s="7">
        <f>IF(K476="","",K476)</f>
        <v/>
      </c>
      <c r="S476" s="6">
        <f>IF(OR(H476="",H476&lt;8,H476&gt;72),"",J476)</f>
        <v/>
      </c>
      <c r="T476" s="6">
        <f>IF(OR(P476="lyrics",P476="instrumental"),1,IF(AND(P476="none",COUNTIFS($B$2:$B$479,B476,$P$2:$P$479,"none")&gt;=3),1,0))</f>
        <v/>
      </c>
    </row>
    <row r="477">
      <c r="A477" s="8" t="n">
        <v>164</v>
      </c>
      <c r="B477" s="9" t="inlineStr">
        <is>
          <t>Deelnemer 7</t>
        </is>
      </c>
      <c r="C477" s="9" t="inlineStr">
        <is>
          <t>instrumental</t>
        </is>
      </c>
      <c r="D477" s="9" t="inlineStr">
        <is>
          <t>2026-10-14T14:10:12.978Z</t>
        </is>
      </c>
      <c r="E477" s="8" t="n">
        <v>1</v>
      </c>
      <c r="F477" s="9" t="inlineStr">
        <is>
          <t>5 4 2 4 9 5 9 5</t>
        </is>
      </c>
      <c r="G477" s="8" t="n">
        <v>43</v>
      </c>
      <c r="H477" s="8" t="n">
        <v>43</v>
      </c>
      <c r="I477" s="8" t="inlineStr">
        <is>
          <t>true</t>
        </is>
      </c>
      <c r="J477" s="8" t="n">
        <v>0</v>
      </c>
      <c r="K477" s="8" t="n">
        <v>3542</v>
      </c>
      <c r="L477" s="8" t="n">
        <v>8</v>
      </c>
      <c r="M477" s="10" t="n">
        <v>1.8</v>
      </c>
      <c r="N477" s="8" t="n">
        <v>1</v>
      </c>
      <c r="O477" s="8" t="n">
        <v>9</v>
      </c>
      <c r="P477" s="6">
        <f>LOWER(TRIM(C477))</f>
        <v/>
      </c>
      <c r="Q477" s="6">
        <f>IF(I477="true",1,0)</f>
        <v/>
      </c>
      <c r="R477" s="7">
        <f>IF(K477="","",K477)</f>
        <v/>
      </c>
      <c r="S477" s="6">
        <f>IF(OR(H477="",H477&lt;8,H477&gt;72),"",J477)</f>
        <v/>
      </c>
      <c r="T477" s="6">
        <f>IF(OR(P477="lyrics",P477="instrumental"),1,IF(AND(P477="none",COUNTIFS($B$2:$B$479,B477,$P$2:$P$479,"none")&gt;=3),1,0))</f>
        <v/>
      </c>
    </row>
    <row r="478">
      <c r="A478" s="3" t="n">
        <v>164</v>
      </c>
      <c r="B478" s="4" t="inlineStr">
        <is>
          <t>Deelnemer 7</t>
        </is>
      </c>
      <c r="C478" s="4" t="inlineStr">
        <is>
          <t>instrumental</t>
        </is>
      </c>
      <c r="D478" s="4" t="inlineStr">
        <is>
          <t>2026-10-14T14:10:12.978Z</t>
        </is>
      </c>
      <c r="E478" s="3" t="n">
        <v>2</v>
      </c>
      <c r="F478" s="4" t="inlineStr">
        <is>
          <t>8 7 3 1 1 1 2 5</t>
        </is>
      </c>
      <c r="G478" s="3" t="n">
        <v>28</v>
      </c>
      <c r="H478" s="3" t="n">
        <v>28</v>
      </c>
      <c r="I478" s="3" t="inlineStr">
        <is>
          <t>true</t>
        </is>
      </c>
      <c r="J478" s="3" t="n">
        <v>0</v>
      </c>
      <c r="K478" s="3" t="n">
        <v>1746</v>
      </c>
      <c r="L478" s="3" t="n">
        <v>8</v>
      </c>
      <c r="M478" s="5" t="n">
        <v>1.8</v>
      </c>
      <c r="N478" s="3" t="n">
        <v>1</v>
      </c>
      <c r="O478" s="3" t="n">
        <v>9</v>
      </c>
      <c r="P478" s="6">
        <f>LOWER(TRIM(C478))</f>
        <v/>
      </c>
      <c r="Q478" s="6">
        <f>IF(I478="true",1,0)</f>
        <v/>
      </c>
      <c r="R478" s="7">
        <f>IF(K478="","",K478)</f>
        <v/>
      </c>
      <c r="S478" s="6">
        <f>IF(OR(H478="",H478&lt;8,H478&gt;72),"",J478)</f>
        <v/>
      </c>
      <c r="T478" s="6">
        <f>IF(OR(P478="lyrics",P478="instrumental"),1,IF(AND(P478="none",COUNTIFS($B$2:$B$479,B478,$P$2:$P$479,"none")&gt;=3),1,0))</f>
        <v/>
      </c>
    </row>
    <row r="479">
      <c r="A479" s="8" t="n">
        <v>164</v>
      </c>
      <c r="B479" s="9" t="inlineStr">
        <is>
          <t>Deelnemer 7</t>
        </is>
      </c>
      <c r="C479" s="9" t="inlineStr">
        <is>
          <t>instrumental</t>
        </is>
      </c>
      <c r="D479" s="9" t="inlineStr">
        <is>
          <t>2026-10-14T14:10:12.978Z</t>
        </is>
      </c>
      <c r="E479" s="8" t="n">
        <v>3</v>
      </c>
      <c r="F479" s="9" t="inlineStr">
        <is>
          <t>2 2 7 9 4 8 7 3</t>
        </is>
      </c>
      <c r="G479" s="8" t="n">
        <v>42</v>
      </c>
      <c r="H479" s="8" t="n">
        <v>45</v>
      </c>
      <c r="I479" s="8" t="inlineStr">
        <is>
          <t>false</t>
        </is>
      </c>
      <c r="J479" s="8" t="n">
        <v>3</v>
      </c>
      <c r="K479" s="8" t="n">
        <v>4916</v>
      </c>
      <c r="L479" s="8" t="n">
        <v>8</v>
      </c>
      <c r="M479" s="10" t="n">
        <v>1.8</v>
      </c>
      <c r="N479" s="8" t="n">
        <v>1</v>
      </c>
      <c r="O479" s="8" t="n">
        <v>9</v>
      </c>
      <c r="P479" s="6">
        <f>LOWER(TRIM(C479))</f>
        <v/>
      </c>
      <c r="Q479" s="6">
        <f>IF(I479="true",1,0)</f>
        <v/>
      </c>
      <c r="R479" s="7">
        <f>IF(K479="","",K479)</f>
        <v/>
      </c>
      <c r="S479" s="6">
        <f>IF(OR(H479="",H479&lt;8,H479&gt;72),"",J479)</f>
        <v/>
      </c>
      <c r="T479" s="6">
        <f>IF(OR(P479="lyrics",P479="instrumental"),1,IF(AND(P479="none",COUNTIFS($B$2:$B$479,B479,$P$2:$P$479,"none")&gt;=3),1,0))</f>
        <v/>
      </c>
    </row>
  </sheetData>
  <autoFilter ref="A1:T479"/>
  <pageMargins left="0.55" right="0.55" top="0.6" bottom="0.55" header="0.25" footer="0.25"/>
  <pageSetup orientation="landscape" paperSize="9" fitToHeight="0" fitToWidth="1"/>
  <headerFooter>
    <oddHeader>&amp;LAll trials</oddHeader>
    <oddFooter>&amp;LSource: data/combined.csv&amp;RPage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5B7C99"/>
    <outlinePr summaryBelow="1" summaryRight="1"/>
    <pageSetUpPr fitToPage="1"/>
  </sheetPr>
  <dimension ref="A1:W32"/>
  <sheetViews>
    <sheetView showGridLines="0" zoomScale="110" workbookViewId="0">
      <pane xSplit="1" ySplit="3" topLeftCell="B4" activePane="bottomRight" state="frozen"/>
      <selection pane="topRight"/>
      <selection pane="bottomLeft"/>
      <selection pane="bottomRight" activeCell="A1" sqref="A1"/>
    </sheetView>
  </sheetViews>
  <sheetFormatPr baseColWidth="8" defaultRowHeight="18"/>
  <cols>
    <col width="18" customWidth="1" min="1" max="1"/>
    <col width="12" customWidth="1" min="2" max="2"/>
    <col width="14" customWidth="1" min="3" max="3"/>
    <col width="12" customWidth="1" min="4" max="4"/>
    <col width="14" customWidth="1" min="5" max="5"/>
    <col width="16" customWidth="1" min="6" max="6"/>
    <col width="14" customWidth="1" min="7" max="7"/>
    <col width="16" customWidth="1" min="8" max="8"/>
    <col width="14" customWidth="1" min="9" max="9"/>
    <col width="16" customWidth="1" min="10" max="10"/>
    <col width="14" customWidth="1" min="11" max="11"/>
    <col width="16" customWidth="1" min="12" max="12"/>
    <col width="12" customWidth="1" min="13" max="13"/>
    <col width="14" customWidth="1" min="14" max="14"/>
    <col width="12" customWidth="1" min="15" max="15"/>
    <col width="14" customWidth="1" min="16" max="16"/>
    <col hidden="1" outlineLevel="1" width="18" customWidth="1" min="17" max="17"/>
    <col hidden="1" outlineLevel="1" width="22" customWidth="1" min="18" max="18"/>
    <col hidden="1" outlineLevel="1" width="18" customWidth="1" min="19" max="19"/>
    <col hidden="1" outlineLevel="1" width="22" customWidth="1" min="20" max="20"/>
    <col hidden="1" outlineLevel="1" width="20" customWidth="1" min="21" max="21"/>
    <col hidden="1" outlineLevel="1" width="18" customWidth="1" min="22" max="22"/>
    <col hidden="1" outlineLevel="1" width="18" customWidth="1" min="23" max="23"/>
  </cols>
  <sheetData>
    <row r="1" ht="32" customHeight="1">
      <c r="A1" s="11" t="inlineStr">
        <is>
          <t>One row per person</t>
        </is>
      </c>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row>
    <row r="2" ht="20" customHeight="1">
      <c r="A2" s="13" t="inlineStr">
        <is>
          <t>Formulas read All data. Practice silence is excluded. A silence block of three trials is kept.</t>
        </is>
      </c>
      <c r="B2" s="14" t="n"/>
      <c r="C2" s="14" t="n"/>
      <c r="D2" s="14" t="n"/>
      <c r="E2" s="14" t="n"/>
      <c r="F2" s="14" t="n"/>
      <c r="G2" s="14" t="n"/>
      <c r="H2" s="14" t="n"/>
      <c r="I2" s="14" t="n"/>
      <c r="J2" s="14" t="n"/>
      <c r="K2" s="14" t="n"/>
      <c r="L2" s="14" t="n"/>
      <c r="M2" s="14" t="n"/>
      <c r="N2" s="14" t="n"/>
      <c r="O2" s="14" t="n"/>
      <c r="P2" s="14" t="n"/>
      <c r="Q2" s="14" t="n"/>
      <c r="R2" s="14" t="n"/>
      <c r="S2" s="14" t="n"/>
      <c r="T2" s="14" t="n"/>
      <c r="U2" s="14" t="n"/>
      <c r="V2" s="14" t="n"/>
      <c r="W2" s="14" t="n"/>
    </row>
    <row r="3" ht="32" customHeight="1">
      <c r="A3" s="1" t="inlineStr">
        <is>
          <t>Person</t>
        </is>
      </c>
      <c r="B3" s="1" t="inlineStr">
        <is>
          <t>Lyrics trials</t>
        </is>
      </c>
      <c r="C3" s="1" t="inlineStr">
        <is>
          <t>Instrumental trials</t>
        </is>
      </c>
      <c r="D3" s="1" t="inlineStr">
        <is>
          <t>Silence trials</t>
        </is>
      </c>
      <c r="E3" s="1" t="inlineStr">
        <is>
          <t>Lyrics correct</t>
        </is>
      </c>
      <c r="F3" s="1" t="inlineStr">
        <is>
          <t>Instrumental correct</t>
        </is>
      </c>
      <c r="G3" s="1" t="inlineStr">
        <is>
          <t>Silence correct</t>
        </is>
      </c>
      <c r="H3" s="1" t="inlineStr">
        <is>
          <t>Accuracy difference</t>
        </is>
      </c>
      <c r="I3" s="1" t="inlineStr">
        <is>
          <t>Lyrics time (ms)</t>
        </is>
      </c>
      <c r="J3" s="1" t="inlineStr">
        <is>
          <t>Instrumental time (ms)</t>
        </is>
      </c>
      <c r="K3" s="1" t="inlineStr">
        <is>
          <t>Silence time (ms)</t>
        </is>
      </c>
      <c r="L3" s="1" t="inlineStr">
        <is>
          <t>Time difference (ms)</t>
        </is>
      </c>
      <c r="M3" s="1" t="inlineStr">
        <is>
          <t>Lyrics error</t>
        </is>
      </c>
      <c r="N3" s="1" t="inlineStr">
        <is>
          <t>Instrumental error</t>
        </is>
      </c>
      <c r="O3" s="1" t="inlineStr">
        <is>
          <t>Silence error</t>
        </is>
      </c>
      <c r="P3" s="1" t="inlineStr">
        <is>
          <t>Error difference</t>
        </is>
      </c>
      <c r="Q3" s="1" t="inlineStr">
        <is>
          <t>Lyrics − silence, accuracy</t>
        </is>
      </c>
      <c r="R3" s="1" t="inlineStr">
        <is>
          <t>Instrumental − silence, accuracy</t>
        </is>
      </c>
      <c r="S3" s="1" t="inlineStr">
        <is>
          <t>Lyrics − silence, time (ms)</t>
        </is>
      </c>
      <c r="T3" s="1" t="inlineStr">
        <is>
          <t>Instrumental − silence, time (ms)</t>
        </is>
      </c>
      <c r="U3" s="1" t="inlineStr">
        <is>
          <t>Accuracy difference, silence group</t>
        </is>
      </c>
      <c r="V3" s="1" t="inlineStr">
        <is>
          <t>Time difference, silence group</t>
        </is>
      </c>
      <c r="W3" s="1" t="inlineStr">
        <is>
          <t>Error difference, silence group</t>
        </is>
      </c>
    </row>
    <row r="4" ht="20" customHeight="1">
      <c r="A4" s="15" t="inlineStr">
        <is>
          <t>anne</t>
        </is>
      </c>
      <c r="B4" s="16">
        <f>COUNTIFS(Names,A4,Cond,"lyrics",Scored,1)</f>
        <v/>
      </c>
      <c r="C4" s="16">
        <f>COUNTIFS(Names,A4,Cond,"instrumental",Scored,1)</f>
        <v/>
      </c>
      <c r="D4" s="16">
        <f>COUNTIFS(Names,A4,Cond,"none",Scored,1)</f>
        <v/>
      </c>
      <c r="E4" s="17">
        <f>IF(B4=0,"",AVERAGEIFS(CorrectN,Names,A4,Cond,"lyrics",Scored,1))</f>
        <v/>
      </c>
      <c r="F4" s="17">
        <f>IF(C4=0,"",AVERAGEIFS(CorrectN,Names,A4,Cond,"instrumental",Scored,1))</f>
        <v/>
      </c>
      <c r="G4" s="17">
        <f>IF(D4=0,"",AVERAGEIFS(CorrectN,Names,A4,Cond,"none",Scored,1))</f>
        <v/>
      </c>
      <c r="H4" s="18">
        <f>IF(OR(E4="",F4=""),"",E4-F4)</f>
        <v/>
      </c>
      <c r="I4" s="19">
        <f>IF(B4=0,"",AVERAGEIFS(RtN,Names,A4,Cond,"lyrics",Scored,1))</f>
        <v/>
      </c>
      <c r="J4" s="19">
        <f>IF(C4=0,"",AVERAGEIFS(RtN,Names,A4,Cond,"instrumental",Scored,1))</f>
        <v/>
      </c>
      <c r="K4" s="19">
        <f>IF(D4=0,"",AVERAGEIFS(RtN,Names,A4,Cond,"none",Scored,1))</f>
        <v/>
      </c>
      <c r="L4" s="20">
        <f>IF(OR(I4="",J4=""),"",I4-J4)</f>
        <v/>
      </c>
      <c r="M4" s="21">
        <f>IF(B4=0,"",AVERAGEIFS(AbsN,Names,A4,Cond,"lyrics",Scored,1))</f>
        <v/>
      </c>
      <c r="N4" s="21">
        <f>IF(C4=0,"",AVERAGEIFS(AbsN,Names,A4,Cond,"instrumental",Scored,1))</f>
        <v/>
      </c>
      <c r="O4" s="21">
        <f>IF(D4=0,"",AVERAGEIFS(AbsN,Names,A4,Cond,"none",Scored,1))</f>
        <v/>
      </c>
      <c r="P4" s="22">
        <f>IF(OR(M4="",N4=""),"",M4-N4)</f>
        <v/>
      </c>
      <c r="Q4" s="18">
        <f>IF(OR(E4="",G4=""),"",E4-G4)</f>
        <v/>
      </c>
      <c r="R4" s="18">
        <f>IF(OR(F4="",G4=""),"",F4-G4)</f>
        <v/>
      </c>
      <c r="S4" s="20">
        <f>IF(OR(I4="",K4=""),"",I4-K4)</f>
        <v/>
      </c>
      <c r="T4" s="20">
        <f>IF(OR(J4="",K4=""),"",J4-K4)</f>
        <v/>
      </c>
      <c r="U4" s="18">
        <f>IF(D4&gt;=3,H4,"")</f>
        <v/>
      </c>
      <c r="V4" s="20">
        <f>IF(D4&gt;=3,L4,"")</f>
        <v/>
      </c>
      <c r="W4" s="22">
        <f>IF(D4&gt;=3,P4,"")</f>
        <v/>
      </c>
    </row>
    <row r="5" ht="20" customHeight="1">
      <c r="A5" s="23" t="inlineStr">
        <is>
          <t>aus</t>
        </is>
      </c>
      <c r="B5" s="24">
        <f>COUNTIFS(Names,A5,Cond,"lyrics",Scored,1)</f>
        <v/>
      </c>
      <c r="C5" s="24">
        <f>COUNTIFS(Names,A5,Cond,"instrumental",Scored,1)</f>
        <v/>
      </c>
      <c r="D5" s="24">
        <f>COUNTIFS(Names,A5,Cond,"none",Scored,1)</f>
        <v/>
      </c>
      <c r="E5" s="25">
        <f>IF(B5=0,"",AVERAGEIFS(CorrectN,Names,A5,Cond,"lyrics",Scored,1))</f>
        <v/>
      </c>
      <c r="F5" s="25">
        <f>IF(C5=0,"",AVERAGEIFS(CorrectN,Names,A5,Cond,"instrumental",Scored,1))</f>
        <v/>
      </c>
      <c r="G5" s="25">
        <f>IF(D5=0,"",AVERAGEIFS(CorrectN,Names,A5,Cond,"none",Scored,1))</f>
        <v/>
      </c>
      <c r="H5" s="26">
        <f>IF(OR(E5="",F5=""),"",E5-F5)</f>
        <v/>
      </c>
      <c r="I5" s="27">
        <f>IF(B5=0,"",AVERAGEIFS(RtN,Names,A5,Cond,"lyrics",Scored,1))</f>
        <v/>
      </c>
      <c r="J5" s="27">
        <f>IF(C5=0,"",AVERAGEIFS(RtN,Names,A5,Cond,"instrumental",Scored,1))</f>
        <v/>
      </c>
      <c r="K5" s="27">
        <f>IF(D5=0,"",AVERAGEIFS(RtN,Names,A5,Cond,"none",Scored,1))</f>
        <v/>
      </c>
      <c r="L5" s="28">
        <f>IF(OR(I5="",J5=""),"",I5-J5)</f>
        <v/>
      </c>
      <c r="M5" s="29">
        <f>IF(B5=0,"",AVERAGEIFS(AbsN,Names,A5,Cond,"lyrics",Scored,1))</f>
        <v/>
      </c>
      <c r="N5" s="29">
        <f>IF(C5=0,"",AVERAGEIFS(AbsN,Names,A5,Cond,"instrumental",Scored,1))</f>
        <v/>
      </c>
      <c r="O5" s="29">
        <f>IF(D5=0,"",AVERAGEIFS(AbsN,Names,A5,Cond,"none",Scored,1))</f>
        <v/>
      </c>
      <c r="P5" s="30">
        <f>IF(OR(M5="",N5=""),"",M5-N5)</f>
        <v/>
      </c>
      <c r="Q5" s="26">
        <f>IF(OR(E5="",G5=""),"",E5-G5)</f>
        <v/>
      </c>
      <c r="R5" s="26">
        <f>IF(OR(F5="",G5=""),"",F5-G5)</f>
        <v/>
      </c>
      <c r="S5" s="28">
        <f>IF(OR(I5="",K5=""),"",I5-K5)</f>
        <v/>
      </c>
      <c r="T5" s="28">
        <f>IF(OR(J5="",K5=""),"",J5-K5)</f>
        <v/>
      </c>
      <c r="U5" s="26">
        <f>IF(D5&gt;=3,H5,"")</f>
        <v/>
      </c>
      <c r="V5" s="28">
        <f>IF(D5&gt;=3,L5,"")</f>
        <v/>
      </c>
      <c r="W5" s="30">
        <f>IF(D5&gt;=3,P5,"")</f>
        <v/>
      </c>
    </row>
    <row r="6" ht="20" customHeight="1">
      <c r="A6" s="15" t="inlineStr">
        <is>
          <t>benjamin</t>
        </is>
      </c>
      <c r="B6" s="16">
        <f>COUNTIFS(Names,A6,Cond,"lyrics",Scored,1)</f>
        <v/>
      </c>
      <c r="C6" s="16">
        <f>COUNTIFS(Names,A6,Cond,"instrumental",Scored,1)</f>
        <v/>
      </c>
      <c r="D6" s="16">
        <f>COUNTIFS(Names,A6,Cond,"none",Scored,1)</f>
        <v/>
      </c>
      <c r="E6" s="17">
        <f>IF(B6=0,"",AVERAGEIFS(CorrectN,Names,A6,Cond,"lyrics",Scored,1))</f>
        <v/>
      </c>
      <c r="F6" s="17">
        <f>IF(C6=0,"",AVERAGEIFS(CorrectN,Names,A6,Cond,"instrumental",Scored,1))</f>
        <v/>
      </c>
      <c r="G6" s="17">
        <f>IF(D6=0,"",AVERAGEIFS(CorrectN,Names,A6,Cond,"none",Scored,1))</f>
        <v/>
      </c>
      <c r="H6" s="18">
        <f>IF(OR(E6="",F6=""),"",E6-F6)</f>
        <v/>
      </c>
      <c r="I6" s="19">
        <f>IF(B6=0,"",AVERAGEIFS(RtN,Names,A6,Cond,"lyrics",Scored,1))</f>
        <v/>
      </c>
      <c r="J6" s="19">
        <f>IF(C6=0,"",AVERAGEIFS(RtN,Names,A6,Cond,"instrumental",Scored,1))</f>
        <v/>
      </c>
      <c r="K6" s="19">
        <f>IF(D6=0,"",AVERAGEIFS(RtN,Names,A6,Cond,"none",Scored,1))</f>
        <v/>
      </c>
      <c r="L6" s="20">
        <f>IF(OR(I6="",J6=""),"",I6-J6)</f>
        <v/>
      </c>
      <c r="M6" s="21">
        <f>IF(B6=0,"",AVERAGEIFS(AbsN,Names,A6,Cond,"lyrics",Scored,1))</f>
        <v/>
      </c>
      <c r="N6" s="21">
        <f>IF(C6=0,"",AVERAGEIFS(AbsN,Names,A6,Cond,"instrumental",Scored,1))</f>
        <v/>
      </c>
      <c r="O6" s="21">
        <f>IF(D6=0,"",AVERAGEIFS(AbsN,Names,A6,Cond,"none",Scored,1))</f>
        <v/>
      </c>
      <c r="P6" s="22">
        <f>IF(OR(M6="",N6=""),"",M6-N6)</f>
        <v/>
      </c>
      <c r="Q6" s="18">
        <f>IF(OR(E6="",G6=""),"",E6-G6)</f>
        <v/>
      </c>
      <c r="R6" s="18">
        <f>IF(OR(F6="",G6=""),"",F6-G6)</f>
        <v/>
      </c>
      <c r="S6" s="20">
        <f>IF(OR(I6="",K6=""),"",I6-K6)</f>
        <v/>
      </c>
      <c r="T6" s="20">
        <f>IF(OR(J6="",K6=""),"",J6-K6)</f>
        <v/>
      </c>
      <c r="U6" s="18">
        <f>IF(D6&gt;=3,H6,"")</f>
        <v/>
      </c>
      <c r="V6" s="20">
        <f>IF(D6&gt;=3,L6,"")</f>
        <v/>
      </c>
      <c r="W6" s="22">
        <f>IF(D6&gt;=3,P6,"")</f>
        <v/>
      </c>
    </row>
    <row r="7" ht="20" customHeight="1">
      <c r="A7" s="23" t="inlineStr">
        <is>
          <t>Bommel</t>
        </is>
      </c>
      <c r="B7" s="24">
        <f>COUNTIFS(Names,A7,Cond,"lyrics",Scored,1)</f>
        <v/>
      </c>
      <c r="C7" s="24">
        <f>COUNTIFS(Names,A7,Cond,"instrumental",Scored,1)</f>
        <v/>
      </c>
      <c r="D7" s="24">
        <f>COUNTIFS(Names,A7,Cond,"none",Scored,1)</f>
        <v/>
      </c>
      <c r="E7" s="25">
        <f>IF(B7=0,"",AVERAGEIFS(CorrectN,Names,A7,Cond,"lyrics",Scored,1))</f>
        <v/>
      </c>
      <c r="F7" s="25">
        <f>IF(C7=0,"",AVERAGEIFS(CorrectN,Names,A7,Cond,"instrumental",Scored,1))</f>
        <v/>
      </c>
      <c r="G7" s="25">
        <f>IF(D7=0,"",AVERAGEIFS(CorrectN,Names,A7,Cond,"none",Scored,1))</f>
        <v/>
      </c>
      <c r="H7" s="26">
        <f>IF(OR(E7="",F7=""),"",E7-F7)</f>
        <v/>
      </c>
      <c r="I7" s="27">
        <f>IF(B7=0,"",AVERAGEIFS(RtN,Names,A7,Cond,"lyrics",Scored,1))</f>
        <v/>
      </c>
      <c r="J7" s="27">
        <f>IF(C7=0,"",AVERAGEIFS(RtN,Names,A7,Cond,"instrumental",Scored,1))</f>
        <v/>
      </c>
      <c r="K7" s="27">
        <f>IF(D7=0,"",AVERAGEIFS(RtN,Names,A7,Cond,"none",Scored,1))</f>
        <v/>
      </c>
      <c r="L7" s="28">
        <f>IF(OR(I7="",J7=""),"",I7-J7)</f>
        <v/>
      </c>
      <c r="M7" s="29">
        <f>IF(B7=0,"",AVERAGEIFS(AbsN,Names,A7,Cond,"lyrics",Scored,1))</f>
        <v/>
      </c>
      <c r="N7" s="29">
        <f>IF(C7=0,"",AVERAGEIFS(AbsN,Names,A7,Cond,"instrumental",Scored,1))</f>
        <v/>
      </c>
      <c r="O7" s="29">
        <f>IF(D7=0,"",AVERAGEIFS(AbsN,Names,A7,Cond,"none",Scored,1))</f>
        <v/>
      </c>
      <c r="P7" s="30">
        <f>IF(OR(M7="",N7=""),"",M7-N7)</f>
        <v/>
      </c>
      <c r="Q7" s="26">
        <f>IF(OR(E7="",G7=""),"",E7-G7)</f>
        <v/>
      </c>
      <c r="R7" s="26">
        <f>IF(OR(F7="",G7=""),"",F7-G7)</f>
        <v/>
      </c>
      <c r="S7" s="28">
        <f>IF(OR(I7="",K7=""),"",I7-K7)</f>
        <v/>
      </c>
      <c r="T7" s="28">
        <f>IF(OR(J7="",K7=""),"",J7-K7)</f>
        <v/>
      </c>
      <c r="U7" s="26">
        <f>IF(D7&gt;=3,H7,"")</f>
        <v/>
      </c>
      <c r="V7" s="28">
        <f>IF(D7&gt;=3,L7,"")</f>
        <v/>
      </c>
      <c r="W7" s="30">
        <f>IF(D7&gt;=3,P7,"")</f>
        <v/>
      </c>
    </row>
    <row r="8" ht="20" customHeight="1">
      <c r="A8" s="15" t="inlineStr">
        <is>
          <t>Bram</t>
        </is>
      </c>
      <c r="B8" s="16">
        <f>COUNTIFS(Names,A8,Cond,"lyrics",Scored,1)</f>
        <v/>
      </c>
      <c r="C8" s="16">
        <f>COUNTIFS(Names,A8,Cond,"instrumental",Scored,1)</f>
        <v/>
      </c>
      <c r="D8" s="16">
        <f>COUNTIFS(Names,A8,Cond,"none",Scored,1)</f>
        <v/>
      </c>
      <c r="E8" s="17">
        <f>IF(B8=0,"",AVERAGEIFS(CorrectN,Names,A8,Cond,"lyrics",Scored,1))</f>
        <v/>
      </c>
      <c r="F8" s="17">
        <f>IF(C8=0,"",AVERAGEIFS(CorrectN,Names,A8,Cond,"instrumental",Scored,1))</f>
        <v/>
      </c>
      <c r="G8" s="17">
        <f>IF(D8=0,"",AVERAGEIFS(CorrectN,Names,A8,Cond,"none",Scored,1))</f>
        <v/>
      </c>
      <c r="H8" s="18">
        <f>IF(OR(E8="",F8=""),"",E8-F8)</f>
        <v/>
      </c>
      <c r="I8" s="19">
        <f>IF(B8=0,"",AVERAGEIFS(RtN,Names,A8,Cond,"lyrics",Scored,1))</f>
        <v/>
      </c>
      <c r="J8" s="19">
        <f>IF(C8=0,"",AVERAGEIFS(RtN,Names,A8,Cond,"instrumental",Scored,1))</f>
        <v/>
      </c>
      <c r="K8" s="19">
        <f>IF(D8=0,"",AVERAGEIFS(RtN,Names,A8,Cond,"none",Scored,1))</f>
        <v/>
      </c>
      <c r="L8" s="20">
        <f>IF(OR(I8="",J8=""),"",I8-J8)</f>
        <v/>
      </c>
      <c r="M8" s="21">
        <f>IF(B8=0,"",AVERAGEIFS(AbsN,Names,A8,Cond,"lyrics",Scored,1))</f>
        <v/>
      </c>
      <c r="N8" s="21">
        <f>IF(C8=0,"",AVERAGEIFS(AbsN,Names,A8,Cond,"instrumental",Scored,1))</f>
        <v/>
      </c>
      <c r="O8" s="21">
        <f>IF(D8=0,"",AVERAGEIFS(AbsN,Names,A8,Cond,"none",Scored,1))</f>
        <v/>
      </c>
      <c r="P8" s="22">
        <f>IF(OR(M8="",N8=""),"",M8-N8)</f>
        <v/>
      </c>
      <c r="Q8" s="18">
        <f>IF(OR(E8="",G8=""),"",E8-G8)</f>
        <v/>
      </c>
      <c r="R8" s="18">
        <f>IF(OR(F8="",G8=""),"",F8-G8)</f>
        <v/>
      </c>
      <c r="S8" s="20">
        <f>IF(OR(I8="",K8=""),"",I8-K8)</f>
        <v/>
      </c>
      <c r="T8" s="20">
        <f>IF(OR(J8="",K8=""),"",J8-K8)</f>
        <v/>
      </c>
      <c r="U8" s="18">
        <f>IF(D8&gt;=3,H8,"")</f>
        <v/>
      </c>
      <c r="V8" s="20">
        <f>IF(D8&gt;=3,L8,"")</f>
        <v/>
      </c>
      <c r="W8" s="22">
        <f>IF(D8&gt;=3,P8,"")</f>
        <v/>
      </c>
    </row>
    <row r="9" ht="20" customHeight="1">
      <c r="A9" s="23" t="inlineStr">
        <is>
          <t>Cas</t>
        </is>
      </c>
      <c r="B9" s="24">
        <f>COUNTIFS(Names,A9,Cond,"lyrics",Scored,1)</f>
        <v/>
      </c>
      <c r="C9" s="24">
        <f>COUNTIFS(Names,A9,Cond,"instrumental",Scored,1)</f>
        <v/>
      </c>
      <c r="D9" s="24">
        <f>COUNTIFS(Names,A9,Cond,"none",Scored,1)</f>
        <v/>
      </c>
      <c r="E9" s="25">
        <f>IF(B9=0,"",AVERAGEIFS(CorrectN,Names,A9,Cond,"lyrics",Scored,1))</f>
        <v/>
      </c>
      <c r="F9" s="25">
        <f>IF(C9=0,"",AVERAGEIFS(CorrectN,Names,A9,Cond,"instrumental",Scored,1))</f>
        <v/>
      </c>
      <c r="G9" s="25">
        <f>IF(D9=0,"",AVERAGEIFS(CorrectN,Names,A9,Cond,"none",Scored,1))</f>
        <v/>
      </c>
      <c r="H9" s="26">
        <f>IF(OR(E9="",F9=""),"",E9-F9)</f>
        <v/>
      </c>
      <c r="I9" s="27">
        <f>IF(B9=0,"",AVERAGEIFS(RtN,Names,A9,Cond,"lyrics",Scored,1))</f>
        <v/>
      </c>
      <c r="J9" s="27">
        <f>IF(C9=0,"",AVERAGEIFS(RtN,Names,A9,Cond,"instrumental",Scored,1))</f>
        <v/>
      </c>
      <c r="K9" s="27">
        <f>IF(D9=0,"",AVERAGEIFS(RtN,Names,A9,Cond,"none",Scored,1))</f>
        <v/>
      </c>
      <c r="L9" s="28">
        <f>IF(OR(I9="",J9=""),"",I9-J9)</f>
        <v/>
      </c>
      <c r="M9" s="29">
        <f>IF(B9=0,"",AVERAGEIFS(AbsN,Names,A9,Cond,"lyrics",Scored,1))</f>
        <v/>
      </c>
      <c r="N9" s="29">
        <f>IF(C9=0,"",AVERAGEIFS(AbsN,Names,A9,Cond,"instrumental",Scored,1))</f>
        <v/>
      </c>
      <c r="O9" s="29">
        <f>IF(D9=0,"",AVERAGEIFS(AbsN,Names,A9,Cond,"none",Scored,1))</f>
        <v/>
      </c>
      <c r="P9" s="30">
        <f>IF(OR(M9="",N9=""),"",M9-N9)</f>
        <v/>
      </c>
      <c r="Q9" s="26">
        <f>IF(OR(E9="",G9=""),"",E9-G9)</f>
        <v/>
      </c>
      <c r="R9" s="26">
        <f>IF(OR(F9="",G9=""),"",F9-G9)</f>
        <v/>
      </c>
      <c r="S9" s="28">
        <f>IF(OR(I9="",K9=""),"",I9-K9)</f>
        <v/>
      </c>
      <c r="T9" s="28">
        <f>IF(OR(J9="",K9=""),"",J9-K9)</f>
        <v/>
      </c>
      <c r="U9" s="26">
        <f>IF(D9&gt;=3,H9,"")</f>
        <v/>
      </c>
      <c r="V9" s="28">
        <f>IF(D9&gt;=3,L9,"")</f>
        <v/>
      </c>
      <c r="W9" s="30">
        <f>IF(D9&gt;=3,P9,"")</f>
        <v/>
      </c>
    </row>
    <row r="10" ht="20" customHeight="1">
      <c r="A10" s="15" t="inlineStr">
        <is>
          <t>Deelnemer 1</t>
        </is>
      </c>
      <c r="B10" s="16">
        <f>COUNTIFS(Names,A10,Cond,"lyrics",Scored,1)</f>
        <v/>
      </c>
      <c r="C10" s="16">
        <f>COUNTIFS(Names,A10,Cond,"instrumental",Scored,1)</f>
        <v/>
      </c>
      <c r="D10" s="16">
        <f>COUNTIFS(Names,A10,Cond,"none",Scored,1)</f>
        <v/>
      </c>
      <c r="E10" s="17">
        <f>IF(B10=0,"",AVERAGEIFS(CorrectN,Names,A10,Cond,"lyrics",Scored,1))</f>
        <v/>
      </c>
      <c r="F10" s="17">
        <f>IF(C10=0,"",AVERAGEIFS(CorrectN,Names,A10,Cond,"instrumental",Scored,1))</f>
        <v/>
      </c>
      <c r="G10" s="17">
        <f>IF(D10=0,"",AVERAGEIFS(CorrectN,Names,A10,Cond,"none",Scored,1))</f>
        <v/>
      </c>
      <c r="H10" s="18">
        <f>IF(OR(E10="",F10=""),"",E10-F10)</f>
        <v/>
      </c>
      <c r="I10" s="19">
        <f>IF(B10=0,"",AVERAGEIFS(RtN,Names,A10,Cond,"lyrics",Scored,1))</f>
        <v/>
      </c>
      <c r="J10" s="19">
        <f>IF(C10=0,"",AVERAGEIFS(RtN,Names,A10,Cond,"instrumental",Scored,1))</f>
        <v/>
      </c>
      <c r="K10" s="19">
        <f>IF(D10=0,"",AVERAGEIFS(RtN,Names,A10,Cond,"none",Scored,1))</f>
        <v/>
      </c>
      <c r="L10" s="20">
        <f>IF(OR(I10="",J10=""),"",I10-J10)</f>
        <v/>
      </c>
      <c r="M10" s="21">
        <f>IF(B10=0,"",AVERAGEIFS(AbsN,Names,A10,Cond,"lyrics",Scored,1))</f>
        <v/>
      </c>
      <c r="N10" s="21">
        <f>IF(C10=0,"",AVERAGEIFS(AbsN,Names,A10,Cond,"instrumental",Scored,1))</f>
        <v/>
      </c>
      <c r="O10" s="21">
        <f>IF(D10=0,"",AVERAGEIFS(AbsN,Names,A10,Cond,"none",Scored,1))</f>
        <v/>
      </c>
      <c r="P10" s="22">
        <f>IF(OR(M10="",N10=""),"",M10-N10)</f>
        <v/>
      </c>
      <c r="Q10" s="18">
        <f>IF(OR(E10="",G10=""),"",E10-G10)</f>
        <v/>
      </c>
      <c r="R10" s="18">
        <f>IF(OR(F10="",G10=""),"",F10-G10)</f>
        <v/>
      </c>
      <c r="S10" s="20">
        <f>IF(OR(I10="",K10=""),"",I10-K10)</f>
        <v/>
      </c>
      <c r="T10" s="20">
        <f>IF(OR(J10="",K10=""),"",J10-K10)</f>
        <v/>
      </c>
      <c r="U10" s="18">
        <f>IF(D10&gt;=3,H10,"")</f>
        <v/>
      </c>
      <c r="V10" s="20">
        <f>IF(D10&gt;=3,L10,"")</f>
        <v/>
      </c>
      <c r="W10" s="22">
        <f>IF(D10&gt;=3,P10,"")</f>
        <v/>
      </c>
    </row>
    <row r="11" ht="20" customHeight="1">
      <c r="A11" s="23" t="inlineStr">
        <is>
          <t>Deelnemer 2</t>
        </is>
      </c>
      <c r="B11" s="24">
        <f>COUNTIFS(Names,A11,Cond,"lyrics",Scored,1)</f>
        <v/>
      </c>
      <c r="C11" s="24">
        <f>COUNTIFS(Names,A11,Cond,"instrumental",Scored,1)</f>
        <v/>
      </c>
      <c r="D11" s="24">
        <f>COUNTIFS(Names,A11,Cond,"none",Scored,1)</f>
        <v/>
      </c>
      <c r="E11" s="25">
        <f>IF(B11=0,"",AVERAGEIFS(CorrectN,Names,A11,Cond,"lyrics",Scored,1))</f>
        <v/>
      </c>
      <c r="F11" s="25">
        <f>IF(C11=0,"",AVERAGEIFS(CorrectN,Names,A11,Cond,"instrumental",Scored,1))</f>
        <v/>
      </c>
      <c r="G11" s="25">
        <f>IF(D11=0,"",AVERAGEIFS(CorrectN,Names,A11,Cond,"none",Scored,1))</f>
        <v/>
      </c>
      <c r="H11" s="26">
        <f>IF(OR(E11="",F11=""),"",E11-F11)</f>
        <v/>
      </c>
      <c r="I11" s="27">
        <f>IF(B11=0,"",AVERAGEIFS(RtN,Names,A11,Cond,"lyrics",Scored,1))</f>
        <v/>
      </c>
      <c r="J11" s="27">
        <f>IF(C11=0,"",AVERAGEIFS(RtN,Names,A11,Cond,"instrumental",Scored,1))</f>
        <v/>
      </c>
      <c r="K11" s="27">
        <f>IF(D11=0,"",AVERAGEIFS(RtN,Names,A11,Cond,"none",Scored,1))</f>
        <v/>
      </c>
      <c r="L11" s="28">
        <f>IF(OR(I11="",J11=""),"",I11-J11)</f>
        <v/>
      </c>
      <c r="M11" s="29">
        <f>IF(B11=0,"",AVERAGEIFS(AbsN,Names,A11,Cond,"lyrics",Scored,1))</f>
        <v/>
      </c>
      <c r="N11" s="29">
        <f>IF(C11=0,"",AVERAGEIFS(AbsN,Names,A11,Cond,"instrumental",Scored,1))</f>
        <v/>
      </c>
      <c r="O11" s="29">
        <f>IF(D11=0,"",AVERAGEIFS(AbsN,Names,A11,Cond,"none",Scored,1))</f>
        <v/>
      </c>
      <c r="P11" s="30">
        <f>IF(OR(M11="",N11=""),"",M11-N11)</f>
        <v/>
      </c>
      <c r="Q11" s="26">
        <f>IF(OR(E11="",G11=""),"",E11-G11)</f>
        <v/>
      </c>
      <c r="R11" s="26">
        <f>IF(OR(F11="",G11=""),"",F11-G11)</f>
        <v/>
      </c>
      <c r="S11" s="28">
        <f>IF(OR(I11="",K11=""),"",I11-K11)</f>
        <v/>
      </c>
      <c r="T11" s="28">
        <f>IF(OR(J11="",K11=""),"",J11-K11)</f>
        <v/>
      </c>
      <c r="U11" s="26">
        <f>IF(D11&gt;=3,H11,"")</f>
        <v/>
      </c>
      <c r="V11" s="28">
        <f>IF(D11&gt;=3,L11,"")</f>
        <v/>
      </c>
      <c r="W11" s="30">
        <f>IF(D11&gt;=3,P11,"")</f>
        <v/>
      </c>
    </row>
    <row r="12" ht="20" customHeight="1">
      <c r="A12" s="15" t="inlineStr">
        <is>
          <t>Deelnemer 3</t>
        </is>
      </c>
      <c r="B12" s="16">
        <f>COUNTIFS(Names,A12,Cond,"lyrics",Scored,1)</f>
        <v/>
      </c>
      <c r="C12" s="16">
        <f>COUNTIFS(Names,A12,Cond,"instrumental",Scored,1)</f>
        <v/>
      </c>
      <c r="D12" s="16">
        <f>COUNTIFS(Names,A12,Cond,"none",Scored,1)</f>
        <v/>
      </c>
      <c r="E12" s="17">
        <f>IF(B12=0,"",AVERAGEIFS(CorrectN,Names,A12,Cond,"lyrics",Scored,1))</f>
        <v/>
      </c>
      <c r="F12" s="17">
        <f>IF(C12=0,"",AVERAGEIFS(CorrectN,Names,A12,Cond,"instrumental",Scored,1))</f>
        <v/>
      </c>
      <c r="G12" s="17">
        <f>IF(D12=0,"",AVERAGEIFS(CorrectN,Names,A12,Cond,"none",Scored,1))</f>
        <v/>
      </c>
      <c r="H12" s="18">
        <f>IF(OR(E12="",F12=""),"",E12-F12)</f>
        <v/>
      </c>
      <c r="I12" s="19">
        <f>IF(B12=0,"",AVERAGEIFS(RtN,Names,A12,Cond,"lyrics",Scored,1))</f>
        <v/>
      </c>
      <c r="J12" s="19">
        <f>IF(C12=0,"",AVERAGEIFS(RtN,Names,A12,Cond,"instrumental",Scored,1))</f>
        <v/>
      </c>
      <c r="K12" s="19">
        <f>IF(D12=0,"",AVERAGEIFS(RtN,Names,A12,Cond,"none",Scored,1))</f>
        <v/>
      </c>
      <c r="L12" s="20">
        <f>IF(OR(I12="",J12=""),"",I12-J12)</f>
        <v/>
      </c>
      <c r="M12" s="21">
        <f>IF(B12=0,"",AVERAGEIFS(AbsN,Names,A12,Cond,"lyrics",Scored,1))</f>
        <v/>
      </c>
      <c r="N12" s="21">
        <f>IF(C12=0,"",AVERAGEIFS(AbsN,Names,A12,Cond,"instrumental",Scored,1))</f>
        <v/>
      </c>
      <c r="O12" s="21">
        <f>IF(D12=0,"",AVERAGEIFS(AbsN,Names,A12,Cond,"none",Scored,1))</f>
        <v/>
      </c>
      <c r="P12" s="22">
        <f>IF(OR(M12="",N12=""),"",M12-N12)</f>
        <v/>
      </c>
      <c r="Q12" s="18">
        <f>IF(OR(E12="",G12=""),"",E12-G12)</f>
        <v/>
      </c>
      <c r="R12" s="18">
        <f>IF(OR(F12="",G12=""),"",F12-G12)</f>
        <v/>
      </c>
      <c r="S12" s="20">
        <f>IF(OR(I12="",K12=""),"",I12-K12)</f>
        <v/>
      </c>
      <c r="T12" s="20">
        <f>IF(OR(J12="",K12=""),"",J12-K12)</f>
        <v/>
      </c>
      <c r="U12" s="18">
        <f>IF(D12&gt;=3,H12,"")</f>
        <v/>
      </c>
      <c r="V12" s="20">
        <f>IF(D12&gt;=3,L12,"")</f>
        <v/>
      </c>
      <c r="W12" s="22">
        <f>IF(D12&gt;=3,P12,"")</f>
        <v/>
      </c>
    </row>
    <row r="13" ht="20" customHeight="1">
      <c r="A13" s="23" t="inlineStr">
        <is>
          <t>Deelnemer 4</t>
        </is>
      </c>
      <c r="B13" s="24">
        <f>COUNTIFS(Names,A13,Cond,"lyrics",Scored,1)</f>
        <v/>
      </c>
      <c r="C13" s="24">
        <f>COUNTIFS(Names,A13,Cond,"instrumental",Scored,1)</f>
        <v/>
      </c>
      <c r="D13" s="24">
        <f>COUNTIFS(Names,A13,Cond,"none",Scored,1)</f>
        <v/>
      </c>
      <c r="E13" s="25">
        <f>IF(B13=0,"",AVERAGEIFS(CorrectN,Names,A13,Cond,"lyrics",Scored,1))</f>
        <v/>
      </c>
      <c r="F13" s="25">
        <f>IF(C13=0,"",AVERAGEIFS(CorrectN,Names,A13,Cond,"instrumental",Scored,1))</f>
        <v/>
      </c>
      <c r="G13" s="25">
        <f>IF(D13=0,"",AVERAGEIFS(CorrectN,Names,A13,Cond,"none",Scored,1))</f>
        <v/>
      </c>
      <c r="H13" s="26">
        <f>IF(OR(E13="",F13=""),"",E13-F13)</f>
        <v/>
      </c>
      <c r="I13" s="27">
        <f>IF(B13=0,"",AVERAGEIFS(RtN,Names,A13,Cond,"lyrics",Scored,1))</f>
        <v/>
      </c>
      <c r="J13" s="27">
        <f>IF(C13=0,"",AVERAGEIFS(RtN,Names,A13,Cond,"instrumental",Scored,1))</f>
        <v/>
      </c>
      <c r="K13" s="27">
        <f>IF(D13=0,"",AVERAGEIFS(RtN,Names,A13,Cond,"none",Scored,1))</f>
        <v/>
      </c>
      <c r="L13" s="28">
        <f>IF(OR(I13="",J13=""),"",I13-J13)</f>
        <v/>
      </c>
      <c r="M13" s="29">
        <f>IF(B13=0,"",AVERAGEIFS(AbsN,Names,A13,Cond,"lyrics",Scored,1))</f>
        <v/>
      </c>
      <c r="N13" s="29">
        <f>IF(C13=0,"",AVERAGEIFS(AbsN,Names,A13,Cond,"instrumental",Scored,1))</f>
        <v/>
      </c>
      <c r="O13" s="29">
        <f>IF(D13=0,"",AVERAGEIFS(AbsN,Names,A13,Cond,"none",Scored,1))</f>
        <v/>
      </c>
      <c r="P13" s="30">
        <f>IF(OR(M13="",N13=""),"",M13-N13)</f>
        <v/>
      </c>
      <c r="Q13" s="26">
        <f>IF(OR(E13="",G13=""),"",E13-G13)</f>
        <v/>
      </c>
      <c r="R13" s="26">
        <f>IF(OR(F13="",G13=""),"",F13-G13)</f>
        <v/>
      </c>
      <c r="S13" s="28">
        <f>IF(OR(I13="",K13=""),"",I13-K13)</f>
        <v/>
      </c>
      <c r="T13" s="28">
        <f>IF(OR(J13="",K13=""),"",J13-K13)</f>
        <v/>
      </c>
      <c r="U13" s="26">
        <f>IF(D13&gt;=3,H13,"")</f>
        <v/>
      </c>
      <c r="V13" s="28">
        <f>IF(D13&gt;=3,L13,"")</f>
        <v/>
      </c>
      <c r="W13" s="30">
        <f>IF(D13&gt;=3,P13,"")</f>
        <v/>
      </c>
    </row>
    <row r="14" ht="20" customHeight="1">
      <c r="A14" s="15" t="inlineStr">
        <is>
          <t>Deelnemer 5</t>
        </is>
      </c>
      <c r="B14" s="16">
        <f>COUNTIFS(Names,A14,Cond,"lyrics",Scored,1)</f>
        <v/>
      </c>
      <c r="C14" s="16">
        <f>COUNTIFS(Names,A14,Cond,"instrumental",Scored,1)</f>
        <v/>
      </c>
      <c r="D14" s="16">
        <f>COUNTIFS(Names,A14,Cond,"none",Scored,1)</f>
        <v/>
      </c>
      <c r="E14" s="17">
        <f>IF(B14=0,"",AVERAGEIFS(CorrectN,Names,A14,Cond,"lyrics",Scored,1))</f>
        <v/>
      </c>
      <c r="F14" s="17">
        <f>IF(C14=0,"",AVERAGEIFS(CorrectN,Names,A14,Cond,"instrumental",Scored,1))</f>
        <v/>
      </c>
      <c r="G14" s="17">
        <f>IF(D14=0,"",AVERAGEIFS(CorrectN,Names,A14,Cond,"none",Scored,1))</f>
        <v/>
      </c>
      <c r="H14" s="18">
        <f>IF(OR(E14="",F14=""),"",E14-F14)</f>
        <v/>
      </c>
      <c r="I14" s="19">
        <f>IF(B14=0,"",AVERAGEIFS(RtN,Names,A14,Cond,"lyrics",Scored,1))</f>
        <v/>
      </c>
      <c r="J14" s="19">
        <f>IF(C14=0,"",AVERAGEIFS(RtN,Names,A14,Cond,"instrumental",Scored,1))</f>
        <v/>
      </c>
      <c r="K14" s="19">
        <f>IF(D14=0,"",AVERAGEIFS(RtN,Names,A14,Cond,"none",Scored,1))</f>
        <v/>
      </c>
      <c r="L14" s="20">
        <f>IF(OR(I14="",J14=""),"",I14-J14)</f>
        <v/>
      </c>
      <c r="M14" s="21">
        <f>IF(B14=0,"",AVERAGEIFS(AbsN,Names,A14,Cond,"lyrics",Scored,1))</f>
        <v/>
      </c>
      <c r="N14" s="21">
        <f>IF(C14=0,"",AVERAGEIFS(AbsN,Names,A14,Cond,"instrumental",Scored,1))</f>
        <v/>
      </c>
      <c r="O14" s="21">
        <f>IF(D14=0,"",AVERAGEIFS(AbsN,Names,A14,Cond,"none",Scored,1))</f>
        <v/>
      </c>
      <c r="P14" s="22">
        <f>IF(OR(M14="",N14=""),"",M14-N14)</f>
        <v/>
      </c>
      <c r="Q14" s="18">
        <f>IF(OR(E14="",G14=""),"",E14-G14)</f>
        <v/>
      </c>
      <c r="R14" s="18">
        <f>IF(OR(F14="",G14=""),"",F14-G14)</f>
        <v/>
      </c>
      <c r="S14" s="20">
        <f>IF(OR(I14="",K14=""),"",I14-K14)</f>
        <v/>
      </c>
      <c r="T14" s="20">
        <f>IF(OR(J14="",K14=""),"",J14-K14)</f>
        <v/>
      </c>
      <c r="U14" s="18">
        <f>IF(D14&gt;=3,H14,"")</f>
        <v/>
      </c>
      <c r="V14" s="20">
        <f>IF(D14&gt;=3,L14,"")</f>
        <v/>
      </c>
      <c r="W14" s="22">
        <f>IF(D14&gt;=3,P14,"")</f>
        <v/>
      </c>
    </row>
    <row r="15" ht="20" customHeight="1">
      <c r="A15" s="23" t="inlineStr">
        <is>
          <t>Deelnemer 6</t>
        </is>
      </c>
      <c r="B15" s="24">
        <f>COUNTIFS(Names,A15,Cond,"lyrics",Scored,1)</f>
        <v/>
      </c>
      <c r="C15" s="24">
        <f>COUNTIFS(Names,A15,Cond,"instrumental",Scored,1)</f>
        <v/>
      </c>
      <c r="D15" s="24">
        <f>COUNTIFS(Names,A15,Cond,"none",Scored,1)</f>
        <v/>
      </c>
      <c r="E15" s="25">
        <f>IF(B15=0,"",AVERAGEIFS(CorrectN,Names,A15,Cond,"lyrics",Scored,1))</f>
        <v/>
      </c>
      <c r="F15" s="25">
        <f>IF(C15=0,"",AVERAGEIFS(CorrectN,Names,A15,Cond,"instrumental",Scored,1))</f>
        <v/>
      </c>
      <c r="G15" s="25">
        <f>IF(D15=0,"",AVERAGEIFS(CorrectN,Names,A15,Cond,"none",Scored,1))</f>
        <v/>
      </c>
      <c r="H15" s="26">
        <f>IF(OR(E15="",F15=""),"",E15-F15)</f>
        <v/>
      </c>
      <c r="I15" s="27">
        <f>IF(B15=0,"",AVERAGEIFS(RtN,Names,A15,Cond,"lyrics",Scored,1))</f>
        <v/>
      </c>
      <c r="J15" s="27">
        <f>IF(C15=0,"",AVERAGEIFS(RtN,Names,A15,Cond,"instrumental",Scored,1))</f>
        <v/>
      </c>
      <c r="K15" s="27">
        <f>IF(D15=0,"",AVERAGEIFS(RtN,Names,A15,Cond,"none",Scored,1))</f>
        <v/>
      </c>
      <c r="L15" s="28">
        <f>IF(OR(I15="",J15=""),"",I15-J15)</f>
        <v/>
      </c>
      <c r="M15" s="29">
        <f>IF(B15=0,"",AVERAGEIFS(AbsN,Names,A15,Cond,"lyrics",Scored,1))</f>
        <v/>
      </c>
      <c r="N15" s="29">
        <f>IF(C15=0,"",AVERAGEIFS(AbsN,Names,A15,Cond,"instrumental",Scored,1))</f>
        <v/>
      </c>
      <c r="O15" s="29">
        <f>IF(D15=0,"",AVERAGEIFS(AbsN,Names,A15,Cond,"none",Scored,1))</f>
        <v/>
      </c>
      <c r="P15" s="30">
        <f>IF(OR(M15="",N15=""),"",M15-N15)</f>
        <v/>
      </c>
      <c r="Q15" s="26">
        <f>IF(OR(E15="",G15=""),"",E15-G15)</f>
        <v/>
      </c>
      <c r="R15" s="26">
        <f>IF(OR(F15="",G15=""),"",F15-G15)</f>
        <v/>
      </c>
      <c r="S15" s="28">
        <f>IF(OR(I15="",K15=""),"",I15-K15)</f>
        <v/>
      </c>
      <c r="T15" s="28">
        <f>IF(OR(J15="",K15=""),"",J15-K15)</f>
        <v/>
      </c>
      <c r="U15" s="26">
        <f>IF(D15&gt;=3,H15,"")</f>
        <v/>
      </c>
      <c r="V15" s="28">
        <f>IF(D15&gt;=3,L15,"")</f>
        <v/>
      </c>
      <c r="W15" s="30">
        <f>IF(D15&gt;=3,P15,"")</f>
        <v/>
      </c>
    </row>
    <row r="16" ht="20" customHeight="1">
      <c r="A16" s="15" t="inlineStr">
        <is>
          <t>Deelnemer 7</t>
        </is>
      </c>
      <c r="B16" s="16">
        <f>COUNTIFS(Names,A16,Cond,"lyrics",Scored,1)</f>
        <v/>
      </c>
      <c r="C16" s="16">
        <f>COUNTIFS(Names,A16,Cond,"instrumental",Scored,1)</f>
        <v/>
      </c>
      <c r="D16" s="16">
        <f>COUNTIFS(Names,A16,Cond,"none",Scored,1)</f>
        <v/>
      </c>
      <c r="E16" s="17">
        <f>IF(B16=0,"",AVERAGEIFS(CorrectN,Names,A16,Cond,"lyrics",Scored,1))</f>
        <v/>
      </c>
      <c r="F16" s="17">
        <f>IF(C16=0,"",AVERAGEIFS(CorrectN,Names,A16,Cond,"instrumental",Scored,1))</f>
        <v/>
      </c>
      <c r="G16" s="17">
        <f>IF(D16=0,"",AVERAGEIFS(CorrectN,Names,A16,Cond,"none",Scored,1))</f>
        <v/>
      </c>
      <c r="H16" s="18">
        <f>IF(OR(E16="",F16=""),"",E16-F16)</f>
        <v/>
      </c>
      <c r="I16" s="19">
        <f>IF(B16=0,"",AVERAGEIFS(RtN,Names,A16,Cond,"lyrics",Scored,1))</f>
        <v/>
      </c>
      <c r="J16" s="19">
        <f>IF(C16=0,"",AVERAGEIFS(RtN,Names,A16,Cond,"instrumental",Scored,1))</f>
        <v/>
      </c>
      <c r="K16" s="19">
        <f>IF(D16=0,"",AVERAGEIFS(RtN,Names,A16,Cond,"none",Scored,1))</f>
        <v/>
      </c>
      <c r="L16" s="20">
        <f>IF(OR(I16="",J16=""),"",I16-J16)</f>
        <v/>
      </c>
      <c r="M16" s="21">
        <f>IF(B16=0,"",AVERAGEIFS(AbsN,Names,A16,Cond,"lyrics",Scored,1))</f>
        <v/>
      </c>
      <c r="N16" s="21">
        <f>IF(C16=0,"",AVERAGEIFS(AbsN,Names,A16,Cond,"instrumental",Scored,1))</f>
        <v/>
      </c>
      <c r="O16" s="21">
        <f>IF(D16=0,"",AVERAGEIFS(AbsN,Names,A16,Cond,"none",Scored,1))</f>
        <v/>
      </c>
      <c r="P16" s="22">
        <f>IF(OR(M16="",N16=""),"",M16-N16)</f>
        <v/>
      </c>
      <c r="Q16" s="18">
        <f>IF(OR(E16="",G16=""),"",E16-G16)</f>
        <v/>
      </c>
      <c r="R16" s="18">
        <f>IF(OR(F16="",G16=""),"",F16-G16)</f>
        <v/>
      </c>
      <c r="S16" s="20">
        <f>IF(OR(I16="",K16=""),"",I16-K16)</f>
        <v/>
      </c>
      <c r="T16" s="20">
        <f>IF(OR(J16="",K16=""),"",J16-K16)</f>
        <v/>
      </c>
      <c r="U16" s="18">
        <f>IF(D16&gt;=3,H16,"")</f>
        <v/>
      </c>
      <c r="V16" s="20">
        <f>IF(D16&gt;=3,L16,"")</f>
        <v/>
      </c>
      <c r="W16" s="22">
        <f>IF(D16&gt;=3,P16,"")</f>
        <v/>
      </c>
    </row>
    <row r="17" ht="20" customHeight="1">
      <c r="A17" s="23" t="inlineStr">
        <is>
          <t>Fay</t>
        </is>
      </c>
      <c r="B17" s="24">
        <f>COUNTIFS(Names,A17,Cond,"lyrics",Scored,1)</f>
        <v/>
      </c>
      <c r="C17" s="24">
        <f>COUNTIFS(Names,A17,Cond,"instrumental",Scored,1)</f>
        <v/>
      </c>
      <c r="D17" s="24">
        <f>COUNTIFS(Names,A17,Cond,"none",Scored,1)</f>
        <v/>
      </c>
      <c r="E17" s="25">
        <f>IF(B17=0,"",AVERAGEIFS(CorrectN,Names,A17,Cond,"lyrics",Scored,1))</f>
        <v/>
      </c>
      <c r="F17" s="25">
        <f>IF(C17=0,"",AVERAGEIFS(CorrectN,Names,A17,Cond,"instrumental",Scored,1))</f>
        <v/>
      </c>
      <c r="G17" s="25">
        <f>IF(D17=0,"",AVERAGEIFS(CorrectN,Names,A17,Cond,"none",Scored,1))</f>
        <v/>
      </c>
      <c r="H17" s="26">
        <f>IF(OR(E17="",F17=""),"",E17-F17)</f>
        <v/>
      </c>
      <c r="I17" s="27">
        <f>IF(B17=0,"",AVERAGEIFS(RtN,Names,A17,Cond,"lyrics",Scored,1))</f>
        <v/>
      </c>
      <c r="J17" s="27">
        <f>IF(C17=0,"",AVERAGEIFS(RtN,Names,A17,Cond,"instrumental",Scored,1))</f>
        <v/>
      </c>
      <c r="K17" s="27">
        <f>IF(D17=0,"",AVERAGEIFS(RtN,Names,A17,Cond,"none",Scored,1))</f>
        <v/>
      </c>
      <c r="L17" s="28">
        <f>IF(OR(I17="",J17=""),"",I17-J17)</f>
        <v/>
      </c>
      <c r="M17" s="29">
        <f>IF(B17=0,"",AVERAGEIFS(AbsN,Names,A17,Cond,"lyrics",Scored,1))</f>
        <v/>
      </c>
      <c r="N17" s="29">
        <f>IF(C17=0,"",AVERAGEIFS(AbsN,Names,A17,Cond,"instrumental",Scored,1))</f>
        <v/>
      </c>
      <c r="O17" s="29">
        <f>IF(D17=0,"",AVERAGEIFS(AbsN,Names,A17,Cond,"none",Scored,1))</f>
        <v/>
      </c>
      <c r="P17" s="30">
        <f>IF(OR(M17="",N17=""),"",M17-N17)</f>
        <v/>
      </c>
      <c r="Q17" s="26">
        <f>IF(OR(E17="",G17=""),"",E17-G17)</f>
        <v/>
      </c>
      <c r="R17" s="26">
        <f>IF(OR(F17="",G17=""),"",F17-G17)</f>
        <v/>
      </c>
      <c r="S17" s="28">
        <f>IF(OR(I17="",K17=""),"",I17-K17)</f>
        <v/>
      </c>
      <c r="T17" s="28">
        <f>IF(OR(J17="",K17=""),"",J17-K17)</f>
        <v/>
      </c>
      <c r="U17" s="26">
        <f>IF(D17&gt;=3,H17,"")</f>
        <v/>
      </c>
      <c r="V17" s="28">
        <f>IF(D17&gt;=3,L17,"")</f>
        <v/>
      </c>
      <c r="W17" s="30">
        <f>IF(D17&gt;=3,P17,"")</f>
        <v/>
      </c>
    </row>
    <row r="18" ht="20" customHeight="1">
      <c r="A18" s="15" t="inlineStr">
        <is>
          <t>Floor</t>
        </is>
      </c>
      <c r="B18" s="16">
        <f>COUNTIFS(Names,A18,Cond,"lyrics",Scored,1)</f>
        <v/>
      </c>
      <c r="C18" s="16">
        <f>COUNTIFS(Names,A18,Cond,"instrumental",Scored,1)</f>
        <v/>
      </c>
      <c r="D18" s="16">
        <f>COUNTIFS(Names,A18,Cond,"none",Scored,1)</f>
        <v/>
      </c>
      <c r="E18" s="17">
        <f>IF(B18=0,"",AVERAGEIFS(CorrectN,Names,A18,Cond,"lyrics",Scored,1))</f>
        <v/>
      </c>
      <c r="F18" s="17">
        <f>IF(C18=0,"",AVERAGEIFS(CorrectN,Names,A18,Cond,"instrumental",Scored,1))</f>
        <v/>
      </c>
      <c r="G18" s="17">
        <f>IF(D18=0,"",AVERAGEIFS(CorrectN,Names,A18,Cond,"none",Scored,1))</f>
        <v/>
      </c>
      <c r="H18" s="18">
        <f>IF(OR(E18="",F18=""),"",E18-F18)</f>
        <v/>
      </c>
      <c r="I18" s="19">
        <f>IF(B18=0,"",AVERAGEIFS(RtN,Names,A18,Cond,"lyrics",Scored,1))</f>
        <v/>
      </c>
      <c r="J18" s="19">
        <f>IF(C18=0,"",AVERAGEIFS(RtN,Names,A18,Cond,"instrumental",Scored,1))</f>
        <v/>
      </c>
      <c r="K18" s="19">
        <f>IF(D18=0,"",AVERAGEIFS(RtN,Names,A18,Cond,"none",Scored,1))</f>
        <v/>
      </c>
      <c r="L18" s="20">
        <f>IF(OR(I18="",J18=""),"",I18-J18)</f>
        <v/>
      </c>
      <c r="M18" s="21">
        <f>IF(B18=0,"",AVERAGEIFS(AbsN,Names,A18,Cond,"lyrics",Scored,1))</f>
        <v/>
      </c>
      <c r="N18" s="21">
        <f>IF(C18=0,"",AVERAGEIFS(AbsN,Names,A18,Cond,"instrumental",Scored,1))</f>
        <v/>
      </c>
      <c r="O18" s="21">
        <f>IF(D18=0,"",AVERAGEIFS(AbsN,Names,A18,Cond,"none",Scored,1))</f>
        <v/>
      </c>
      <c r="P18" s="22">
        <f>IF(OR(M18="",N18=""),"",M18-N18)</f>
        <v/>
      </c>
      <c r="Q18" s="18">
        <f>IF(OR(E18="",G18=""),"",E18-G18)</f>
        <v/>
      </c>
      <c r="R18" s="18">
        <f>IF(OR(F18="",G18=""),"",F18-G18)</f>
        <v/>
      </c>
      <c r="S18" s="20">
        <f>IF(OR(I18="",K18=""),"",I18-K18)</f>
        <v/>
      </c>
      <c r="T18" s="20">
        <f>IF(OR(J18="",K18=""),"",J18-K18)</f>
        <v/>
      </c>
      <c r="U18" s="18">
        <f>IF(D18&gt;=3,H18,"")</f>
        <v/>
      </c>
      <c r="V18" s="20">
        <f>IF(D18&gt;=3,L18,"")</f>
        <v/>
      </c>
      <c r="W18" s="22">
        <f>IF(D18&gt;=3,P18,"")</f>
        <v/>
      </c>
    </row>
    <row r="19" ht="20" customHeight="1">
      <c r="A19" s="23" t="inlineStr">
        <is>
          <t>Gerdien</t>
        </is>
      </c>
      <c r="B19" s="24">
        <f>COUNTIFS(Names,A19,Cond,"lyrics",Scored,1)</f>
        <v/>
      </c>
      <c r="C19" s="24">
        <f>COUNTIFS(Names,A19,Cond,"instrumental",Scored,1)</f>
        <v/>
      </c>
      <c r="D19" s="24">
        <f>COUNTIFS(Names,A19,Cond,"none",Scored,1)</f>
        <v/>
      </c>
      <c r="E19" s="25">
        <f>IF(B19=0,"",AVERAGEIFS(CorrectN,Names,A19,Cond,"lyrics",Scored,1))</f>
        <v/>
      </c>
      <c r="F19" s="25">
        <f>IF(C19=0,"",AVERAGEIFS(CorrectN,Names,A19,Cond,"instrumental",Scored,1))</f>
        <v/>
      </c>
      <c r="G19" s="25">
        <f>IF(D19=0,"",AVERAGEIFS(CorrectN,Names,A19,Cond,"none",Scored,1))</f>
        <v/>
      </c>
      <c r="H19" s="26">
        <f>IF(OR(E19="",F19=""),"",E19-F19)</f>
        <v/>
      </c>
      <c r="I19" s="27">
        <f>IF(B19=0,"",AVERAGEIFS(RtN,Names,A19,Cond,"lyrics",Scored,1))</f>
        <v/>
      </c>
      <c r="J19" s="27">
        <f>IF(C19=0,"",AVERAGEIFS(RtN,Names,A19,Cond,"instrumental",Scored,1))</f>
        <v/>
      </c>
      <c r="K19" s="27">
        <f>IF(D19=0,"",AVERAGEIFS(RtN,Names,A19,Cond,"none",Scored,1))</f>
        <v/>
      </c>
      <c r="L19" s="28">
        <f>IF(OR(I19="",J19=""),"",I19-J19)</f>
        <v/>
      </c>
      <c r="M19" s="29">
        <f>IF(B19=0,"",AVERAGEIFS(AbsN,Names,A19,Cond,"lyrics",Scored,1))</f>
        <v/>
      </c>
      <c r="N19" s="29">
        <f>IF(C19=0,"",AVERAGEIFS(AbsN,Names,A19,Cond,"instrumental",Scored,1))</f>
        <v/>
      </c>
      <c r="O19" s="29">
        <f>IF(D19=0,"",AVERAGEIFS(AbsN,Names,A19,Cond,"none",Scored,1))</f>
        <v/>
      </c>
      <c r="P19" s="30">
        <f>IF(OR(M19="",N19=""),"",M19-N19)</f>
        <v/>
      </c>
      <c r="Q19" s="26">
        <f>IF(OR(E19="",G19=""),"",E19-G19)</f>
        <v/>
      </c>
      <c r="R19" s="26">
        <f>IF(OR(F19="",G19=""),"",F19-G19)</f>
        <v/>
      </c>
      <c r="S19" s="28">
        <f>IF(OR(I19="",K19=""),"",I19-K19)</f>
        <v/>
      </c>
      <c r="T19" s="28">
        <f>IF(OR(J19="",K19=""),"",J19-K19)</f>
        <v/>
      </c>
      <c r="U19" s="26">
        <f>IF(D19&gt;=3,H19,"")</f>
        <v/>
      </c>
      <c r="V19" s="28">
        <f>IF(D19&gt;=3,L19,"")</f>
        <v/>
      </c>
      <c r="W19" s="30">
        <f>IF(D19&gt;=3,P19,"")</f>
        <v/>
      </c>
    </row>
    <row r="20" ht="20" customHeight="1">
      <c r="A20" s="15" t="inlineStr">
        <is>
          <t>joran</t>
        </is>
      </c>
      <c r="B20" s="16">
        <f>COUNTIFS(Names,A20,Cond,"lyrics",Scored,1)</f>
        <v/>
      </c>
      <c r="C20" s="16">
        <f>COUNTIFS(Names,A20,Cond,"instrumental",Scored,1)</f>
        <v/>
      </c>
      <c r="D20" s="16">
        <f>COUNTIFS(Names,A20,Cond,"none",Scored,1)</f>
        <v/>
      </c>
      <c r="E20" s="17">
        <f>IF(B20=0,"",AVERAGEIFS(CorrectN,Names,A20,Cond,"lyrics",Scored,1))</f>
        <v/>
      </c>
      <c r="F20" s="17">
        <f>IF(C20=0,"",AVERAGEIFS(CorrectN,Names,A20,Cond,"instrumental",Scored,1))</f>
        <v/>
      </c>
      <c r="G20" s="17">
        <f>IF(D20=0,"",AVERAGEIFS(CorrectN,Names,A20,Cond,"none",Scored,1))</f>
        <v/>
      </c>
      <c r="H20" s="18">
        <f>IF(OR(E20="",F20=""),"",E20-F20)</f>
        <v/>
      </c>
      <c r="I20" s="19">
        <f>IF(B20=0,"",AVERAGEIFS(RtN,Names,A20,Cond,"lyrics",Scored,1))</f>
        <v/>
      </c>
      <c r="J20" s="19">
        <f>IF(C20=0,"",AVERAGEIFS(RtN,Names,A20,Cond,"instrumental",Scored,1))</f>
        <v/>
      </c>
      <c r="K20" s="19">
        <f>IF(D20=0,"",AVERAGEIFS(RtN,Names,A20,Cond,"none",Scored,1))</f>
        <v/>
      </c>
      <c r="L20" s="20">
        <f>IF(OR(I20="",J20=""),"",I20-J20)</f>
        <v/>
      </c>
      <c r="M20" s="21">
        <f>IF(B20=0,"",AVERAGEIFS(AbsN,Names,A20,Cond,"lyrics",Scored,1))</f>
        <v/>
      </c>
      <c r="N20" s="21">
        <f>IF(C20=0,"",AVERAGEIFS(AbsN,Names,A20,Cond,"instrumental",Scored,1))</f>
        <v/>
      </c>
      <c r="O20" s="21">
        <f>IF(D20=0,"",AVERAGEIFS(AbsN,Names,A20,Cond,"none",Scored,1))</f>
        <v/>
      </c>
      <c r="P20" s="22">
        <f>IF(OR(M20="",N20=""),"",M20-N20)</f>
        <v/>
      </c>
      <c r="Q20" s="18">
        <f>IF(OR(E20="",G20=""),"",E20-G20)</f>
        <v/>
      </c>
      <c r="R20" s="18">
        <f>IF(OR(F20="",G20=""),"",F20-G20)</f>
        <v/>
      </c>
      <c r="S20" s="20">
        <f>IF(OR(I20="",K20=""),"",I20-K20)</f>
        <v/>
      </c>
      <c r="T20" s="20">
        <f>IF(OR(J20="",K20=""),"",J20-K20)</f>
        <v/>
      </c>
      <c r="U20" s="18">
        <f>IF(D20&gt;=3,H20,"")</f>
        <v/>
      </c>
      <c r="V20" s="20">
        <f>IF(D20&gt;=3,L20,"")</f>
        <v/>
      </c>
      <c r="W20" s="22">
        <f>IF(D20&gt;=3,P20,"")</f>
        <v/>
      </c>
    </row>
    <row r="21" ht="20" customHeight="1">
      <c r="A21" s="23" t="inlineStr">
        <is>
          <t>Lotte</t>
        </is>
      </c>
      <c r="B21" s="24">
        <f>COUNTIFS(Names,A21,Cond,"lyrics",Scored,1)</f>
        <v/>
      </c>
      <c r="C21" s="24">
        <f>COUNTIFS(Names,A21,Cond,"instrumental",Scored,1)</f>
        <v/>
      </c>
      <c r="D21" s="24">
        <f>COUNTIFS(Names,A21,Cond,"none",Scored,1)</f>
        <v/>
      </c>
      <c r="E21" s="25">
        <f>IF(B21=0,"",AVERAGEIFS(CorrectN,Names,A21,Cond,"lyrics",Scored,1))</f>
        <v/>
      </c>
      <c r="F21" s="25">
        <f>IF(C21=0,"",AVERAGEIFS(CorrectN,Names,A21,Cond,"instrumental",Scored,1))</f>
        <v/>
      </c>
      <c r="G21" s="25">
        <f>IF(D21=0,"",AVERAGEIFS(CorrectN,Names,A21,Cond,"none",Scored,1))</f>
        <v/>
      </c>
      <c r="H21" s="26">
        <f>IF(OR(E21="",F21=""),"",E21-F21)</f>
        <v/>
      </c>
      <c r="I21" s="27">
        <f>IF(B21=0,"",AVERAGEIFS(RtN,Names,A21,Cond,"lyrics",Scored,1))</f>
        <v/>
      </c>
      <c r="J21" s="27">
        <f>IF(C21=0,"",AVERAGEIFS(RtN,Names,A21,Cond,"instrumental",Scored,1))</f>
        <v/>
      </c>
      <c r="K21" s="27">
        <f>IF(D21=0,"",AVERAGEIFS(RtN,Names,A21,Cond,"none",Scored,1))</f>
        <v/>
      </c>
      <c r="L21" s="28">
        <f>IF(OR(I21="",J21=""),"",I21-J21)</f>
        <v/>
      </c>
      <c r="M21" s="29">
        <f>IF(B21=0,"",AVERAGEIFS(AbsN,Names,A21,Cond,"lyrics",Scored,1))</f>
        <v/>
      </c>
      <c r="N21" s="29">
        <f>IF(C21=0,"",AVERAGEIFS(AbsN,Names,A21,Cond,"instrumental",Scored,1))</f>
        <v/>
      </c>
      <c r="O21" s="29">
        <f>IF(D21=0,"",AVERAGEIFS(AbsN,Names,A21,Cond,"none",Scored,1))</f>
        <v/>
      </c>
      <c r="P21" s="30">
        <f>IF(OR(M21="",N21=""),"",M21-N21)</f>
        <v/>
      </c>
      <c r="Q21" s="26">
        <f>IF(OR(E21="",G21=""),"",E21-G21)</f>
        <v/>
      </c>
      <c r="R21" s="26">
        <f>IF(OR(F21="",G21=""),"",F21-G21)</f>
        <v/>
      </c>
      <c r="S21" s="28">
        <f>IF(OR(I21="",K21=""),"",I21-K21)</f>
        <v/>
      </c>
      <c r="T21" s="28">
        <f>IF(OR(J21="",K21=""),"",J21-K21)</f>
        <v/>
      </c>
      <c r="U21" s="26">
        <f>IF(D21&gt;=3,H21,"")</f>
        <v/>
      </c>
      <c r="V21" s="28">
        <f>IF(D21&gt;=3,L21,"")</f>
        <v/>
      </c>
      <c r="W21" s="30">
        <f>IF(D21&gt;=3,P21,"")</f>
        <v/>
      </c>
    </row>
    <row r="22" ht="20" customHeight="1">
      <c r="A22" s="15" t="inlineStr">
        <is>
          <t>Lotte Jr</t>
        </is>
      </c>
      <c r="B22" s="16">
        <f>COUNTIFS(Names,A22,Cond,"lyrics",Scored,1)</f>
        <v/>
      </c>
      <c r="C22" s="16">
        <f>COUNTIFS(Names,A22,Cond,"instrumental",Scored,1)</f>
        <v/>
      </c>
      <c r="D22" s="16">
        <f>COUNTIFS(Names,A22,Cond,"none",Scored,1)</f>
        <v/>
      </c>
      <c r="E22" s="17">
        <f>IF(B22=0,"",AVERAGEIFS(CorrectN,Names,A22,Cond,"lyrics",Scored,1))</f>
        <v/>
      </c>
      <c r="F22" s="17">
        <f>IF(C22=0,"",AVERAGEIFS(CorrectN,Names,A22,Cond,"instrumental",Scored,1))</f>
        <v/>
      </c>
      <c r="G22" s="17">
        <f>IF(D22=0,"",AVERAGEIFS(CorrectN,Names,A22,Cond,"none",Scored,1))</f>
        <v/>
      </c>
      <c r="H22" s="18">
        <f>IF(OR(E22="",F22=""),"",E22-F22)</f>
        <v/>
      </c>
      <c r="I22" s="19">
        <f>IF(B22=0,"",AVERAGEIFS(RtN,Names,A22,Cond,"lyrics",Scored,1))</f>
        <v/>
      </c>
      <c r="J22" s="19">
        <f>IF(C22=0,"",AVERAGEIFS(RtN,Names,A22,Cond,"instrumental",Scored,1))</f>
        <v/>
      </c>
      <c r="K22" s="19">
        <f>IF(D22=0,"",AVERAGEIFS(RtN,Names,A22,Cond,"none",Scored,1))</f>
        <v/>
      </c>
      <c r="L22" s="20">
        <f>IF(OR(I22="",J22=""),"",I22-J22)</f>
        <v/>
      </c>
      <c r="M22" s="21">
        <f>IF(B22=0,"",AVERAGEIFS(AbsN,Names,A22,Cond,"lyrics",Scored,1))</f>
        <v/>
      </c>
      <c r="N22" s="21">
        <f>IF(C22=0,"",AVERAGEIFS(AbsN,Names,A22,Cond,"instrumental",Scored,1))</f>
        <v/>
      </c>
      <c r="O22" s="21">
        <f>IF(D22=0,"",AVERAGEIFS(AbsN,Names,A22,Cond,"none",Scored,1))</f>
        <v/>
      </c>
      <c r="P22" s="22">
        <f>IF(OR(M22="",N22=""),"",M22-N22)</f>
        <v/>
      </c>
      <c r="Q22" s="18">
        <f>IF(OR(E22="",G22=""),"",E22-G22)</f>
        <v/>
      </c>
      <c r="R22" s="18">
        <f>IF(OR(F22="",G22=""),"",F22-G22)</f>
        <v/>
      </c>
      <c r="S22" s="20">
        <f>IF(OR(I22="",K22=""),"",I22-K22)</f>
        <v/>
      </c>
      <c r="T22" s="20">
        <f>IF(OR(J22="",K22=""),"",J22-K22)</f>
        <v/>
      </c>
      <c r="U22" s="18">
        <f>IF(D22&gt;=3,H22,"")</f>
        <v/>
      </c>
      <c r="V22" s="20">
        <f>IF(D22&gt;=3,L22,"")</f>
        <v/>
      </c>
      <c r="W22" s="22">
        <f>IF(D22&gt;=3,P22,"")</f>
        <v/>
      </c>
    </row>
    <row r="23" ht="20" customHeight="1">
      <c r="A23" s="23" t="inlineStr">
        <is>
          <t>Mila</t>
        </is>
      </c>
      <c r="B23" s="24">
        <f>COUNTIFS(Names,A23,Cond,"lyrics",Scored,1)</f>
        <v/>
      </c>
      <c r="C23" s="24">
        <f>COUNTIFS(Names,A23,Cond,"instrumental",Scored,1)</f>
        <v/>
      </c>
      <c r="D23" s="24">
        <f>COUNTIFS(Names,A23,Cond,"none",Scored,1)</f>
        <v/>
      </c>
      <c r="E23" s="25">
        <f>IF(B23=0,"",AVERAGEIFS(CorrectN,Names,A23,Cond,"lyrics",Scored,1))</f>
        <v/>
      </c>
      <c r="F23" s="25">
        <f>IF(C23=0,"",AVERAGEIFS(CorrectN,Names,A23,Cond,"instrumental",Scored,1))</f>
        <v/>
      </c>
      <c r="G23" s="25">
        <f>IF(D23=0,"",AVERAGEIFS(CorrectN,Names,A23,Cond,"none",Scored,1))</f>
        <v/>
      </c>
      <c r="H23" s="26">
        <f>IF(OR(E23="",F23=""),"",E23-F23)</f>
        <v/>
      </c>
      <c r="I23" s="27">
        <f>IF(B23=0,"",AVERAGEIFS(RtN,Names,A23,Cond,"lyrics",Scored,1))</f>
        <v/>
      </c>
      <c r="J23" s="27">
        <f>IF(C23=0,"",AVERAGEIFS(RtN,Names,A23,Cond,"instrumental",Scored,1))</f>
        <v/>
      </c>
      <c r="K23" s="27">
        <f>IF(D23=0,"",AVERAGEIFS(RtN,Names,A23,Cond,"none",Scored,1))</f>
        <v/>
      </c>
      <c r="L23" s="28">
        <f>IF(OR(I23="",J23=""),"",I23-J23)</f>
        <v/>
      </c>
      <c r="M23" s="29">
        <f>IF(B23=0,"",AVERAGEIFS(AbsN,Names,A23,Cond,"lyrics",Scored,1))</f>
        <v/>
      </c>
      <c r="N23" s="29">
        <f>IF(C23=0,"",AVERAGEIFS(AbsN,Names,A23,Cond,"instrumental",Scored,1))</f>
        <v/>
      </c>
      <c r="O23" s="29">
        <f>IF(D23=0,"",AVERAGEIFS(AbsN,Names,A23,Cond,"none",Scored,1))</f>
        <v/>
      </c>
      <c r="P23" s="30">
        <f>IF(OR(M23="",N23=""),"",M23-N23)</f>
        <v/>
      </c>
      <c r="Q23" s="26">
        <f>IF(OR(E23="",G23=""),"",E23-G23)</f>
        <v/>
      </c>
      <c r="R23" s="26">
        <f>IF(OR(F23="",G23=""),"",F23-G23)</f>
        <v/>
      </c>
      <c r="S23" s="28">
        <f>IF(OR(I23="",K23=""),"",I23-K23)</f>
        <v/>
      </c>
      <c r="T23" s="28">
        <f>IF(OR(J23="",K23=""),"",J23-K23)</f>
        <v/>
      </c>
      <c r="U23" s="26">
        <f>IF(D23&gt;=3,H23,"")</f>
        <v/>
      </c>
      <c r="V23" s="28">
        <f>IF(D23&gt;=3,L23,"")</f>
        <v/>
      </c>
      <c r="W23" s="30">
        <f>IF(D23&gt;=3,P23,"")</f>
        <v/>
      </c>
    </row>
    <row r="24" ht="20" customHeight="1">
      <c r="A24" s="15" t="inlineStr">
        <is>
          <t>Milo</t>
        </is>
      </c>
      <c r="B24" s="16">
        <f>COUNTIFS(Names,A24,Cond,"lyrics",Scored,1)</f>
        <v/>
      </c>
      <c r="C24" s="16">
        <f>COUNTIFS(Names,A24,Cond,"instrumental",Scored,1)</f>
        <v/>
      </c>
      <c r="D24" s="16">
        <f>COUNTIFS(Names,A24,Cond,"none",Scored,1)</f>
        <v/>
      </c>
      <c r="E24" s="17">
        <f>IF(B24=0,"",AVERAGEIFS(CorrectN,Names,A24,Cond,"lyrics",Scored,1))</f>
        <v/>
      </c>
      <c r="F24" s="17">
        <f>IF(C24=0,"",AVERAGEIFS(CorrectN,Names,A24,Cond,"instrumental",Scored,1))</f>
        <v/>
      </c>
      <c r="G24" s="17">
        <f>IF(D24=0,"",AVERAGEIFS(CorrectN,Names,A24,Cond,"none",Scored,1))</f>
        <v/>
      </c>
      <c r="H24" s="18">
        <f>IF(OR(E24="",F24=""),"",E24-F24)</f>
        <v/>
      </c>
      <c r="I24" s="19">
        <f>IF(B24=0,"",AVERAGEIFS(RtN,Names,A24,Cond,"lyrics",Scored,1))</f>
        <v/>
      </c>
      <c r="J24" s="19">
        <f>IF(C24=0,"",AVERAGEIFS(RtN,Names,A24,Cond,"instrumental",Scored,1))</f>
        <v/>
      </c>
      <c r="K24" s="19">
        <f>IF(D24=0,"",AVERAGEIFS(RtN,Names,A24,Cond,"none",Scored,1))</f>
        <v/>
      </c>
      <c r="L24" s="20">
        <f>IF(OR(I24="",J24=""),"",I24-J24)</f>
        <v/>
      </c>
      <c r="M24" s="21">
        <f>IF(B24=0,"",AVERAGEIFS(AbsN,Names,A24,Cond,"lyrics",Scored,1))</f>
        <v/>
      </c>
      <c r="N24" s="21">
        <f>IF(C24=0,"",AVERAGEIFS(AbsN,Names,A24,Cond,"instrumental",Scored,1))</f>
        <v/>
      </c>
      <c r="O24" s="21">
        <f>IF(D24=0,"",AVERAGEIFS(AbsN,Names,A24,Cond,"none",Scored,1))</f>
        <v/>
      </c>
      <c r="P24" s="22">
        <f>IF(OR(M24="",N24=""),"",M24-N24)</f>
        <v/>
      </c>
      <c r="Q24" s="18">
        <f>IF(OR(E24="",G24=""),"",E24-G24)</f>
        <v/>
      </c>
      <c r="R24" s="18">
        <f>IF(OR(F24="",G24=""),"",F24-G24)</f>
        <v/>
      </c>
      <c r="S24" s="20">
        <f>IF(OR(I24="",K24=""),"",I24-K24)</f>
        <v/>
      </c>
      <c r="T24" s="20">
        <f>IF(OR(J24="",K24=""),"",J24-K24)</f>
        <v/>
      </c>
      <c r="U24" s="18">
        <f>IF(D24&gt;=3,H24,"")</f>
        <v/>
      </c>
      <c r="V24" s="20">
        <f>IF(D24&gt;=3,L24,"")</f>
        <v/>
      </c>
      <c r="W24" s="22">
        <f>IF(D24&gt;=3,P24,"")</f>
        <v/>
      </c>
    </row>
    <row r="25" ht="20" customHeight="1">
      <c r="A25" s="23" t="inlineStr">
        <is>
          <t>Participant 1</t>
        </is>
      </c>
      <c r="B25" s="24">
        <f>COUNTIFS(Names,A25,Cond,"lyrics",Scored,1)</f>
        <v/>
      </c>
      <c r="C25" s="24">
        <f>COUNTIFS(Names,A25,Cond,"instrumental",Scored,1)</f>
        <v/>
      </c>
      <c r="D25" s="24">
        <f>COUNTIFS(Names,A25,Cond,"none",Scored,1)</f>
        <v/>
      </c>
      <c r="E25" s="25">
        <f>IF(B25=0,"",AVERAGEIFS(CorrectN,Names,A25,Cond,"lyrics",Scored,1))</f>
        <v/>
      </c>
      <c r="F25" s="25">
        <f>IF(C25=0,"",AVERAGEIFS(CorrectN,Names,A25,Cond,"instrumental",Scored,1))</f>
        <v/>
      </c>
      <c r="G25" s="25">
        <f>IF(D25=0,"",AVERAGEIFS(CorrectN,Names,A25,Cond,"none",Scored,1))</f>
        <v/>
      </c>
      <c r="H25" s="26">
        <f>IF(OR(E25="",F25=""),"",E25-F25)</f>
        <v/>
      </c>
      <c r="I25" s="27">
        <f>IF(B25=0,"",AVERAGEIFS(RtN,Names,A25,Cond,"lyrics",Scored,1))</f>
        <v/>
      </c>
      <c r="J25" s="27">
        <f>IF(C25=0,"",AVERAGEIFS(RtN,Names,A25,Cond,"instrumental",Scored,1))</f>
        <v/>
      </c>
      <c r="K25" s="27">
        <f>IF(D25=0,"",AVERAGEIFS(RtN,Names,A25,Cond,"none",Scored,1))</f>
        <v/>
      </c>
      <c r="L25" s="28">
        <f>IF(OR(I25="",J25=""),"",I25-J25)</f>
        <v/>
      </c>
      <c r="M25" s="29">
        <f>IF(B25=0,"",AVERAGEIFS(AbsN,Names,A25,Cond,"lyrics",Scored,1))</f>
        <v/>
      </c>
      <c r="N25" s="29">
        <f>IF(C25=0,"",AVERAGEIFS(AbsN,Names,A25,Cond,"instrumental",Scored,1))</f>
        <v/>
      </c>
      <c r="O25" s="29">
        <f>IF(D25=0,"",AVERAGEIFS(AbsN,Names,A25,Cond,"none",Scored,1))</f>
        <v/>
      </c>
      <c r="P25" s="30">
        <f>IF(OR(M25="",N25=""),"",M25-N25)</f>
        <v/>
      </c>
      <c r="Q25" s="26">
        <f>IF(OR(E25="",G25=""),"",E25-G25)</f>
        <v/>
      </c>
      <c r="R25" s="26">
        <f>IF(OR(F25="",G25=""),"",F25-G25)</f>
        <v/>
      </c>
      <c r="S25" s="28">
        <f>IF(OR(I25="",K25=""),"",I25-K25)</f>
        <v/>
      </c>
      <c r="T25" s="28">
        <f>IF(OR(J25="",K25=""),"",J25-K25)</f>
        <v/>
      </c>
      <c r="U25" s="26">
        <f>IF(D25&gt;=3,H25,"")</f>
        <v/>
      </c>
      <c r="V25" s="28">
        <f>IF(D25&gt;=3,L25,"")</f>
        <v/>
      </c>
      <c r="W25" s="30">
        <f>IF(D25&gt;=3,P25,"")</f>
        <v/>
      </c>
    </row>
    <row r="26" ht="20" customHeight="1">
      <c r="A26" s="15" t="inlineStr">
        <is>
          <t>Participant 2</t>
        </is>
      </c>
      <c r="B26" s="16">
        <f>COUNTIFS(Names,A26,Cond,"lyrics",Scored,1)</f>
        <v/>
      </c>
      <c r="C26" s="16">
        <f>COUNTIFS(Names,A26,Cond,"instrumental",Scored,1)</f>
        <v/>
      </c>
      <c r="D26" s="16">
        <f>COUNTIFS(Names,A26,Cond,"none",Scored,1)</f>
        <v/>
      </c>
      <c r="E26" s="17">
        <f>IF(B26=0,"",AVERAGEIFS(CorrectN,Names,A26,Cond,"lyrics",Scored,1))</f>
        <v/>
      </c>
      <c r="F26" s="17">
        <f>IF(C26=0,"",AVERAGEIFS(CorrectN,Names,A26,Cond,"instrumental",Scored,1))</f>
        <v/>
      </c>
      <c r="G26" s="17">
        <f>IF(D26=0,"",AVERAGEIFS(CorrectN,Names,A26,Cond,"none",Scored,1))</f>
        <v/>
      </c>
      <c r="H26" s="18">
        <f>IF(OR(E26="",F26=""),"",E26-F26)</f>
        <v/>
      </c>
      <c r="I26" s="19">
        <f>IF(B26=0,"",AVERAGEIFS(RtN,Names,A26,Cond,"lyrics",Scored,1))</f>
        <v/>
      </c>
      <c r="J26" s="19">
        <f>IF(C26=0,"",AVERAGEIFS(RtN,Names,A26,Cond,"instrumental",Scored,1))</f>
        <v/>
      </c>
      <c r="K26" s="19">
        <f>IF(D26=0,"",AVERAGEIFS(RtN,Names,A26,Cond,"none",Scored,1))</f>
        <v/>
      </c>
      <c r="L26" s="20">
        <f>IF(OR(I26="",J26=""),"",I26-J26)</f>
        <v/>
      </c>
      <c r="M26" s="21">
        <f>IF(B26=0,"",AVERAGEIFS(AbsN,Names,A26,Cond,"lyrics",Scored,1))</f>
        <v/>
      </c>
      <c r="N26" s="21">
        <f>IF(C26=0,"",AVERAGEIFS(AbsN,Names,A26,Cond,"instrumental",Scored,1))</f>
        <v/>
      </c>
      <c r="O26" s="21">
        <f>IF(D26=0,"",AVERAGEIFS(AbsN,Names,A26,Cond,"none",Scored,1))</f>
        <v/>
      </c>
      <c r="P26" s="22">
        <f>IF(OR(M26="",N26=""),"",M26-N26)</f>
        <v/>
      </c>
      <c r="Q26" s="18">
        <f>IF(OR(E26="",G26=""),"",E26-G26)</f>
        <v/>
      </c>
      <c r="R26" s="18">
        <f>IF(OR(F26="",G26=""),"",F26-G26)</f>
        <v/>
      </c>
      <c r="S26" s="20">
        <f>IF(OR(I26="",K26=""),"",I26-K26)</f>
        <v/>
      </c>
      <c r="T26" s="20">
        <f>IF(OR(J26="",K26=""),"",J26-K26)</f>
        <v/>
      </c>
      <c r="U26" s="18">
        <f>IF(D26&gt;=3,H26,"")</f>
        <v/>
      </c>
      <c r="V26" s="20">
        <f>IF(D26&gt;=3,L26,"")</f>
        <v/>
      </c>
      <c r="W26" s="22">
        <f>IF(D26&gt;=3,P26,"")</f>
        <v/>
      </c>
    </row>
    <row r="27" ht="20" customHeight="1">
      <c r="A27" s="23" t="inlineStr">
        <is>
          <t>Participant 3</t>
        </is>
      </c>
      <c r="B27" s="24">
        <f>COUNTIFS(Names,A27,Cond,"lyrics",Scored,1)</f>
        <v/>
      </c>
      <c r="C27" s="24">
        <f>COUNTIFS(Names,A27,Cond,"instrumental",Scored,1)</f>
        <v/>
      </c>
      <c r="D27" s="24">
        <f>COUNTIFS(Names,A27,Cond,"none",Scored,1)</f>
        <v/>
      </c>
      <c r="E27" s="25">
        <f>IF(B27=0,"",AVERAGEIFS(CorrectN,Names,A27,Cond,"lyrics",Scored,1))</f>
        <v/>
      </c>
      <c r="F27" s="25">
        <f>IF(C27=0,"",AVERAGEIFS(CorrectN,Names,A27,Cond,"instrumental",Scored,1))</f>
        <v/>
      </c>
      <c r="G27" s="25">
        <f>IF(D27=0,"",AVERAGEIFS(CorrectN,Names,A27,Cond,"none",Scored,1))</f>
        <v/>
      </c>
      <c r="H27" s="26">
        <f>IF(OR(E27="",F27=""),"",E27-F27)</f>
        <v/>
      </c>
      <c r="I27" s="27">
        <f>IF(B27=0,"",AVERAGEIFS(RtN,Names,A27,Cond,"lyrics",Scored,1))</f>
        <v/>
      </c>
      <c r="J27" s="27">
        <f>IF(C27=0,"",AVERAGEIFS(RtN,Names,A27,Cond,"instrumental",Scored,1))</f>
        <v/>
      </c>
      <c r="K27" s="27">
        <f>IF(D27=0,"",AVERAGEIFS(RtN,Names,A27,Cond,"none",Scored,1))</f>
        <v/>
      </c>
      <c r="L27" s="28">
        <f>IF(OR(I27="",J27=""),"",I27-J27)</f>
        <v/>
      </c>
      <c r="M27" s="29">
        <f>IF(B27=0,"",AVERAGEIFS(AbsN,Names,A27,Cond,"lyrics",Scored,1))</f>
        <v/>
      </c>
      <c r="N27" s="29">
        <f>IF(C27=0,"",AVERAGEIFS(AbsN,Names,A27,Cond,"instrumental",Scored,1))</f>
        <v/>
      </c>
      <c r="O27" s="29">
        <f>IF(D27=0,"",AVERAGEIFS(AbsN,Names,A27,Cond,"none",Scored,1))</f>
        <v/>
      </c>
      <c r="P27" s="30">
        <f>IF(OR(M27="",N27=""),"",M27-N27)</f>
        <v/>
      </c>
      <c r="Q27" s="26">
        <f>IF(OR(E27="",G27=""),"",E27-G27)</f>
        <v/>
      </c>
      <c r="R27" s="26">
        <f>IF(OR(F27="",G27=""),"",F27-G27)</f>
        <v/>
      </c>
      <c r="S27" s="28">
        <f>IF(OR(I27="",K27=""),"",I27-K27)</f>
        <v/>
      </c>
      <c r="T27" s="28">
        <f>IF(OR(J27="",K27=""),"",J27-K27)</f>
        <v/>
      </c>
      <c r="U27" s="26">
        <f>IF(D27&gt;=3,H27,"")</f>
        <v/>
      </c>
      <c r="V27" s="28">
        <f>IF(D27&gt;=3,L27,"")</f>
        <v/>
      </c>
      <c r="W27" s="30">
        <f>IF(D27&gt;=3,P27,"")</f>
        <v/>
      </c>
    </row>
    <row r="28" ht="20" customHeight="1">
      <c r="A28" s="15" t="inlineStr">
        <is>
          <t>Participant 4</t>
        </is>
      </c>
      <c r="B28" s="16">
        <f>COUNTIFS(Names,A28,Cond,"lyrics",Scored,1)</f>
        <v/>
      </c>
      <c r="C28" s="16">
        <f>COUNTIFS(Names,A28,Cond,"instrumental",Scored,1)</f>
        <v/>
      </c>
      <c r="D28" s="16">
        <f>COUNTIFS(Names,A28,Cond,"none",Scored,1)</f>
        <v/>
      </c>
      <c r="E28" s="17">
        <f>IF(B28=0,"",AVERAGEIFS(CorrectN,Names,A28,Cond,"lyrics",Scored,1))</f>
        <v/>
      </c>
      <c r="F28" s="17">
        <f>IF(C28=0,"",AVERAGEIFS(CorrectN,Names,A28,Cond,"instrumental",Scored,1))</f>
        <v/>
      </c>
      <c r="G28" s="17">
        <f>IF(D28=0,"",AVERAGEIFS(CorrectN,Names,A28,Cond,"none",Scored,1))</f>
        <v/>
      </c>
      <c r="H28" s="18">
        <f>IF(OR(E28="",F28=""),"",E28-F28)</f>
        <v/>
      </c>
      <c r="I28" s="19">
        <f>IF(B28=0,"",AVERAGEIFS(RtN,Names,A28,Cond,"lyrics",Scored,1))</f>
        <v/>
      </c>
      <c r="J28" s="19">
        <f>IF(C28=0,"",AVERAGEIFS(RtN,Names,A28,Cond,"instrumental",Scored,1))</f>
        <v/>
      </c>
      <c r="K28" s="19">
        <f>IF(D28=0,"",AVERAGEIFS(RtN,Names,A28,Cond,"none",Scored,1))</f>
        <v/>
      </c>
      <c r="L28" s="20">
        <f>IF(OR(I28="",J28=""),"",I28-J28)</f>
        <v/>
      </c>
      <c r="M28" s="21">
        <f>IF(B28=0,"",AVERAGEIFS(AbsN,Names,A28,Cond,"lyrics",Scored,1))</f>
        <v/>
      </c>
      <c r="N28" s="21">
        <f>IF(C28=0,"",AVERAGEIFS(AbsN,Names,A28,Cond,"instrumental",Scored,1))</f>
        <v/>
      </c>
      <c r="O28" s="21">
        <f>IF(D28=0,"",AVERAGEIFS(AbsN,Names,A28,Cond,"none",Scored,1))</f>
        <v/>
      </c>
      <c r="P28" s="22">
        <f>IF(OR(M28="",N28=""),"",M28-N28)</f>
        <v/>
      </c>
      <c r="Q28" s="18">
        <f>IF(OR(E28="",G28=""),"",E28-G28)</f>
        <v/>
      </c>
      <c r="R28" s="18">
        <f>IF(OR(F28="",G28=""),"",F28-G28)</f>
        <v/>
      </c>
      <c r="S28" s="20">
        <f>IF(OR(I28="",K28=""),"",I28-K28)</f>
        <v/>
      </c>
      <c r="T28" s="20">
        <f>IF(OR(J28="",K28=""),"",J28-K28)</f>
        <v/>
      </c>
      <c r="U28" s="18">
        <f>IF(D28&gt;=3,H28,"")</f>
        <v/>
      </c>
      <c r="V28" s="20">
        <f>IF(D28&gt;=3,L28,"")</f>
        <v/>
      </c>
      <c r="W28" s="22">
        <f>IF(D28&gt;=3,P28,"")</f>
        <v/>
      </c>
    </row>
    <row r="29" ht="20" customHeight="1">
      <c r="A29" s="23" t="inlineStr">
        <is>
          <t>Participant 5</t>
        </is>
      </c>
      <c r="B29" s="24">
        <f>COUNTIFS(Names,A29,Cond,"lyrics",Scored,1)</f>
        <v/>
      </c>
      <c r="C29" s="24">
        <f>COUNTIFS(Names,A29,Cond,"instrumental",Scored,1)</f>
        <v/>
      </c>
      <c r="D29" s="24">
        <f>COUNTIFS(Names,A29,Cond,"none",Scored,1)</f>
        <v/>
      </c>
      <c r="E29" s="25">
        <f>IF(B29=0,"",AVERAGEIFS(CorrectN,Names,A29,Cond,"lyrics",Scored,1))</f>
        <v/>
      </c>
      <c r="F29" s="25">
        <f>IF(C29=0,"",AVERAGEIFS(CorrectN,Names,A29,Cond,"instrumental",Scored,1))</f>
        <v/>
      </c>
      <c r="G29" s="25">
        <f>IF(D29=0,"",AVERAGEIFS(CorrectN,Names,A29,Cond,"none",Scored,1))</f>
        <v/>
      </c>
      <c r="H29" s="26">
        <f>IF(OR(E29="",F29=""),"",E29-F29)</f>
        <v/>
      </c>
      <c r="I29" s="27">
        <f>IF(B29=0,"",AVERAGEIFS(RtN,Names,A29,Cond,"lyrics",Scored,1))</f>
        <v/>
      </c>
      <c r="J29" s="27">
        <f>IF(C29=0,"",AVERAGEIFS(RtN,Names,A29,Cond,"instrumental",Scored,1))</f>
        <v/>
      </c>
      <c r="K29" s="27">
        <f>IF(D29=0,"",AVERAGEIFS(RtN,Names,A29,Cond,"none",Scored,1))</f>
        <v/>
      </c>
      <c r="L29" s="28">
        <f>IF(OR(I29="",J29=""),"",I29-J29)</f>
        <v/>
      </c>
      <c r="M29" s="29">
        <f>IF(B29=0,"",AVERAGEIFS(AbsN,Names,A29,Cond,"lyrics",Scored,1))</f>
        <v/>
      </c>
      <c r="N29" s="29">
        <f>IF(C29=0,"",AVERAGEIFS(AbsN,Names,A29,Cond,"instrumental",Scored,1))</f>
        <v/>
      </c>
      <c r="O29" s="29">
        <f>IF(D29=0,"",AVERAGEIFS(AbsN,Names,A29,Cond,"none",Scored,1))</f>
        <v/>
      </c>
      <c r="P29" s="30">
        <f>IF(OR(M29="",N29=""),"",M29-N29)</f>
        <v/>
      </c>
      <c r="Q29" s="26">
        <f>IF(OR(E29="",G29=""),"",E29-G29)</f>
        <v/>
      </c>
      <c r="R29" s="26">
        <f>IF(OR(F29="",G29=""),"",F29-G29)</f>
        <v/>
      </c>
      <c r="S29" s="28">
        <f>IF(OR(I29="",K29=""),"",I29-K29)</f>
        <v/>
      </c>
      <c r="T29" s="28">
        <f>IF(OR(J29="",K29=""),"",J29-K29)</f>
        <v/>
      </c>
      <c r="U29" s="26">
        <f>IF(D29&gt;=3,H29,"")</f>
        <v/>
      </c>
      <c r="V29" s="28">
        <f>IF(D29&gt;=3,L29,"")</f>
        <v/>
      </c>
      <c r="W29" s="30">
        <f>IF(D29&gt;=3,P29,"")</f>
        <v/>
      </c>
    </row>
    <row r="30" ht="20" customHeight="1">
      <c r="A30" s="15" t="inlineStr">
        <is>
          <t>Participant 6</t>
        </is>
      </c>
      <c r="B30" s="16">
        <f>COUNTIFS(Names,A30,Cond,"lyrics",Scored,1)</f>
        <v/>
      </c>
      <c r="C30" s="16">
        <f>COUNTIFS(Names,A30,Cond,"instrumental",Scored,1)</f>
        <v/>
      </c>
      <c r="D30" s="16">
        <f>COUNTIFS(Names,A30,Cond,"none",Scored,1)</f>
        <v/>
      </c>
      <c r="E30" s="17">
        <f>IF(B30=0,"",AVERAGEIFS(CorrectN,Names,A30,Cond,"lyrics",Scored,1))</f>
        <v/>
      </c>
      <c r="F30" s="17">
        <f>IF(C30=0,"",AVERAGEIFS(CorrectN,Names,A30,Cond,"instrumental",Scored,1))</f>
        <v/>
      </c>
      <c r="G30" s="17">
        <f>IF(D30=0,"",AVERAGEIFS(CorrectN,Names,A30,Cond,"none",Scored,1))</f>
        <v/>
      </c>
      <c r="H30" s="18">
        <f>IF(OR(E30="",F30=""),"",E30-F30)</f>
        <v/>
      </c>
      <c r="I30" s="19">
        <f>IF(B30=0,"",AVERAGEIFS(RtN,Names,A30,Cond,"lyrics",Scored,1))</f>
        <v/>
      </c>
      <c r="J30" s="19">
        <f>IF(C30=0,"",AVERAGEIFS(RtN,Names,A30,Cond,"instrumental",Scored,1))</f>
        <v/>
      </c>
      <c r="K30" s="19">
        <f>IF(D30=0,"",AVERAGEIFS(RtN,Names,A30,Cond,"none",Scored,1))</f>
        <v/>
      </c>
      <c r="L30" s="20">
        <f>IF(OR(I30="",J30=""),"",I30-J30)</f>
        <v/>
      </c>
      <c r="M30" s="21">
        <f>IF(B30=0,"",AVERAGEIFS(AbsN,Names,A30,Cond,"lyrics",Scored,1))</f>
        <v/>
      </c>
      <c r="N30" s="21">
        <f>IF(C30=0,"",AVERAGEIFS(AbsN,Names,A30,Cond,"instrumental",Scored,1))</f>
        <v/>
      </c>
      <c r="O30" s="21">
        <f>IF(D30=0,"",AVERAGEIFS(AbsN,Names,A30,Cond,"none",Scored,1))</f>
        <v/>
      </c>
      <c r="P30" s="22">
        <f>IF(OR(M30="",N30=""),"",M30-N30)</f>
        <v/>
      </c>
      <c r="Q30" s="18">
        <f>IF(OR(E30="",G30=""),"",E30-G30)</f>
        <v/>
      </c>
      <c r="R30" s="18">
        <f>IF(OR(F30="",G30=""),"",F30-G30)</f>
        <v/>
      </c>
      <c r="S30" s="20">
        <f>IF(OR(I30="",K30=""),"",I30-K30)</f>
        <v/>
      </c>
      <c r="T30" s="20">
        <f>IF(OR(J30="",K30=""),"",J30-K30)</f>
        <v/>
      </c>
      <c r="U30" s="18">
        <f>IF(D30&gt;=3,H30,"")</f>
        <v/>
      </c>
      <c r="V30" s="20">
        <f>IF(D30&gt;=3,L30,"")</f>
        <v/>
      </c>
      <c r="W30" s="22">
        <f>IF(D30&gt;=3,P30,"")</f>
        <v/>
      </c>
    </row>
    <row r="31" ht="20" customHeight="1">
      <c r="A31" s="23" t="inlineStr">
        <is>
          <t>Participant 7</t>
        </is>
      </c>
      <c r="B31" s="24">
        <f>COUNTIFS(Names,A31,Cond,"lyrics",Scored,1)</f>
        <v/>
      </c>
      <c r="C31" s="24">
        <f>COUNTIFS(Names,A31,Cond,"instrumental",Scored,1)</f>
        <v/>
      </c>
      <c r="D31" s="24">
        <f>COUNTIFS(Names,A31,Cond,"none",Scored,1)</f>
        <v/>
      </c>
      <c r="E31" s="25">
        <f>IF(B31=0,"",AVERAGEIFS(CorrectN,Names,A31,Cond,"lyrics",Scored,1))</f>
        <v/>
      </c>
      <c r="F31" s="25">
        <f>IF(C31=0,"",AVERAGEIFS(CorrectN,Names,A31,Cond,"instrumental",Scored,1))</f>
        <v/>
      </c>
      <c r="G31" s="25">
        <f>IF(D31=0,"",AVERAGEIFS(CorrectN,Names,A31,Cond,"none",Scored,1))</f>
        <v/>
      </c>
      <c r="H31" s="26">
        <f>IF(OR(E31="",F31=""),"",E31-F31)</f>
        <v/>
      </c>
      <c r="I31" s="27">
        <f>IF(B31=0,"",AVERAGEIFS(RtN,Names,A31,Cond,"lyrics",Scored,1))</f>
        <v/>
      </c>
      <c r="J31" s="27">
        <f>IF(C31=0,"",AVERAGEIFS(RtN,Names,A31,Cond,"instrumental",Scored,1))</f>
        <v/>
      </c>
      <c r="K31" s="27">
        <f>IF(D31=0,"",AVERAGEIFS(RtN,Names,A31,Cond,"none",Scored,1))</f>
        <v/>
      </c>
      <c r="L31" s="28">
        <f>IF(OR(I31="",J31=""),"",I31-J31)</f>
        <v/>
      </c>
      <c r="M31" s="29">
        <f>IF(B31=0,"",AVERAGEIFS(AbsN,Names,A31,Cond,"lyrics",Scored,1))</f>
        <v/>
      </c>
      <c r="N31" s="29">
        <f>IF(C31=0,"",AVERAGEIFS(AbsN,Names,A31,Cond,"instrumental",Scored,1))</f>
        <v/>
      </c>
      <c r="O31" s="29">
        <f>IF(D31=0,"",AVERAGEIFS(AbsN,Names,A31,Cond,"none",Scored,1))</f>
        <v/>
      </c>
      <c r="P31" s="30">
        <f>IF(OR(M31="",N31=""),"",M31-N31)</f>
        <v/>
      </c>
      <c r="Q31" s="26">
        <f>IF(OR(E31="",G31=""),"",E31-G31)</f>
        <v/>
      </c>
      <c r="R31" s="26">
        <f>IF(OR(F31="",G31=""),"",F31-G31)</f>
        <v/>
      </c>
      <c r="S31" s="28">
        <f>IF(OR(I31="",K31=""),"",I31-K31)</f>
        <v/>
      </c>
      <c r="T31" s="28">
        <f>IF(OR(J31="",K31=""),"",J31-K31)</f>
        <v/>
      </c>
      <c r="U31" s="26">
        <f>IF(D31&gt;=3,H31,"")</f>
        <v/>
      </c>
      <c r="V31" s="28">
        <f>IF(D31&gt;=3,L31,"")</f>
        <v/>
      </c>
      <c r="W31" s="30">
        <f>IF(D31&gt;=3,P31,"")</f>
        <v/>
      </c>
    </row>
    <row r="32" ht="20" customHeight="1">
      <c r="A32" s="15" t="inlineStr">
        <is>
          <t>wouter</t>
        </is>
      </c>
      <c r="B32" s="16">
        <f>COUNTIFS(Names,A32,Cond,"lyrics",Scored,1)</f>
        <v/>
      </c>
      <c r="C32" s="16">
        <f>COUNTIFS(Names,A32,Cond,"instrumental",Scored,1)</f>
        <v/>
      </c>
      <c r="D32" s="16">
        <f>COUNTIFS(Names,A32,Cond,"none",Scored,1)</f>
        <v/>
      </c>
      <c r="E32" s="17">
        <f>IF(B32=0,"",AVERAGEIFS(CorrectN,Names,A32,Cond,"lyrics",Scored,1))</f>
        <v/>
      </c>
      <c r="F32" s="17">
        <f>IF(C32=0,"",AVERAGEIFS(CorrectN,Names,A32,Cond,"instrumental",Scored,1))</f>
        <v/>
      </c>
      <c r="G32" s="17">
        <f>IF(D32=0,"",AVERAGEIFS(CorrectN,Names,A32,Cond,"none",Scored,1))</f>
        <v/>
      </c>
      <c r="H32" s="18">
        <f>IF(OR(E32="",F32=""),"",E32-F32)</f>
        <v/>
      </c>
      <c r="I32" s="19">
        <f>IF(B32=0,"",AVERAGEIFS(RtN,Names,A32,Cond,"lyrics",Scored,1))</f>
        <v/>
      </c>
      <c r="J32" s="19">
        <f>IF(C32=0,"",AVERAGEIFS(RtN,Names,A32,Cond,"instrumental",Scored,1))</f>
        <v/>
      </c>
      <c r="K32" s="19">
        <f>IF(D32=0,"",AVERAGEIFS(RtN,Names,A32,Cond,"none",Scored,1))</f>
        <v/>
      </c>
      <c r="L32" s="20">
        <f>IF(OR(I32="",J32=""),"",I32-J32)</f>
        <v/>
      </c>
      <c r="M32" s="21">
        <f>IF(B32=0,"",AVERAGEIFS(AbsN,Names,A32,Cond,"lyrics",Scored,1))</f>
        <v/>
      </c>
      <c r="N32" s="21">
        <f>IF(C32=0,"",AVERAGEIFS(AbsN,Names,A32,Cond,"instrumental",Scored,1))</f>
        <v/>
      </c>
      <c r="O32" s="21">
        <f>IF(D32=0,"",AVERAGEIFS(AbsN,Names,A32,Cond,"none",Scored,1))</f>
        <v/>
      </c>
      <c r="P32" s="22">
        <f>IF(OR(M32="",N32=""),"",M32-N32)</f>
        <v/>
      </c>
      <c r="Q32" s="18">
        <f>IF(OR(E32="",G32=""),"",E32-G32)</f>
        <v/>
      </c>
      <c r="R32" s="18">
        <f>IF(OR(F32="",G32=""),"",F32-G32)</f>
        <v/>
      </c>
      <c r="S32" s="20">
        <f>IF(OR(I32="",K32=""),"",I32-K32)</f>
        <v/>
      </c>
      <c r="T32" s="20">
        <f>IF(OR(J32="",K32=""),"",J32-K32)</f>
        <v/>
      </c>
      <c r="U32" s="18">
        <f>IF(D32&gt;=3,H32,"")</f>
        <v/>
      </c>
      <c r="V32" s="20">
        <f>IF(D32&gt;=3,L32,"")</f>
        <v/>
      </c>
      <c r="W32" s="22">
        <f>IF(D32&gt;=3,P32,"")</f>
        <v/>
      </c>
    </row>
  </sheetData>
  <autoFilter ref="A3:W32"/>
  <mergeCells count="2">
    <mergeCell ref="A2:W2"/>
    <mergeCell ref="A1:W1"/>
  </mergeCells>
  <conditionalFormatting sqref="H4:H32">
    <cfRule type="cellIs" priority="1" operator="lessThan" dxfId="0">
      <formula>0</formula>
    </cfRule>
    <cfRule type="cellIs" priority="2" operator="greaterThan" dxfId="1">
      <formula>0</formula>
    </cfRule>
  </conditionalFormatting>
  <pageMargins left="0.55" right="0.55" top="0.6" bottom="0.55" header="0.25" footer="0.25"/>
  <pageSetup orientation="landscape" paperSize="9" fitToHeight="0" fitToWidth="1"/>
  <headerFooter>
    <oddHeader/>
    <oddFooter>&amp;LSource: data/combined.csv&amp;RPage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8A6A2F"/>
    <outlinePr summaryBelow="1" summaryRight="1"/>
    <pageSetUpPr fitToPage="1"/>
  </sheetPr>
  <dimension ref="A1:I45"/>
  <sheetViews>
    <sheetView showGridLines="0" zoomScale="110" workbookViewId="0">
      <pane ySplit="3" topLeftCell="A4" activePane="bottomLeft" state="frozen"/>
      <selection pane="bottomLeft" activeCell="A1" sqref="A1"/>
    </sheetView>
  </sheetViews>
  <sheetFormatPr baseColWidth="8" defaultRowHeight="18"/>
  <cols>
    <col width="46" customWidth="1" min="1" max="1"/>
    <col width="18" customWidth="1" min="2" max="2"/>
    <col width="24" customWidth="1" min="3" max="3"/>
    <col width="26" customWidth="1" min="4" max="4"/>
    <col width="16" customWidth="1" min="5" max="5"/>
    <col width="16" customWidth="1" min="6" max="6"/>
    <col width="16" customWidth="1" min="7" max="7"/>
    <col width="14" customWidth="1" min="8" max="8"/>
    <col hidden="1" width="8" customWidth="1" min="9" max="9"/>
  </cols>
  <sheetData>
    <row r="1" ht="32" customHeight="1">
      <c r="A1" s="11" t="inlineStr">
        <is>
          <t>Lyrics versus instrumental music</t>
        </is>
      </c>
      <c r="B1" s="12" t="n"/>
      <c r="C1" s="12" t="n"/>
      <c r="D1" s="12" t="n"/>
      <c r="E1" s="12" t="n"/>
      <c r="F1" s="12" t="n"/>
      <c r="G1" s="12" t="n"/>
      <c r="H1" s="12" t="n"/>
    </row>
    <row r="2" ht="20" customHeight="1">
      <c r="A2" s="13" t="inlineStr">
        <is>
          <t>Within-person paired t-tests. Every figure on this sheet is a formula.</t>
        </is>
      </c>
      <c r="B2" s="14" t="n"/>
      <c r="C2" s="14" t="n"/>
      <c r="D2" s="14" t="n"/>
      <c r="E2" s="14" t="n"/>
      <c r="F2" s="14" t="n"/>
      <c r="G2" s="14" t="n"/>
      <c r="H2" s="14" t="n"/>
    </row>
    <row r="4" ht="22" customHeight="1">
      <c r="A4" s="31" t="inlineStr">
        <is>
          <t>Sample</t>
        </is>
      </c>
    </row>
    <row r="5">
      <c r="A5" s="1" t="inlineStr">
        <is>
          <t>People</t>
        </is>
      </c>
      <c r="B5" s="1" t="inlineStr">
        <is>
          <t>Lyrics trials</t>
        </is>
      </c>
      <c r="C5" s="1" t="inlineStr">
        <is>
          <t>Instrumental trials</t>
        </is>
      </c>
      <c r="D5" s="1" t="inlineStr">
        <is>
          <t>Scored silence trials</t>
        </is>
      </c>
    </row>
    <row r="6" ht="26" customHeight="1">
      <c r="A6" s="32">
        <f>COUNTA('By person'!A4:A32)</f>
        <v/>
      </c>
      <c r="B6" s="32">
        <f>SUM('By person'!B4:B32)</f>
        <v/>
      </c>
      <c r="C6" s="32">
        <f>SUM('By person'!C4:C32)</f>
        <v/>
      </c>
      <c r="D6" s="32">
        <f>SUM('By person'!D4:D32)</f>
        <v/>
      </c>
    </row>
    <row r="8" ht="22" customHeight="1">
      <c r="A8" s="31" t="inlineStr">
        <is>
          <t>Planned comparison: lyrics minus instrumental</t>
        </is>
      </c>
    </row>
    <row r="9">
      <c r="A9" s="1" t="inlineStr"/>
      <c r="B9" s="1" t="inlineStr">
        <is>
          <t>Accuracy</t>
        </is>
      </c>
      <c r="C9" s="1" t="inlineStr">
        <is>
          <t>Response time (ms)</t>
        </is>
      </c>
      <c r="D9" s="1" t="inlineStr">
        <is>
          <t>Absolute error (points)</t>
        </is>
      </c>
    </row>
    <row r="10" ht="20" customHeight="1">
      <c r="A10" s="33" t="inlineStr">
        <is>
          <t>Mean, lyrics</t>
        </is>
      </c>
      <c r="B10" s="25">
        <f>AVERAGE('By person'!E4:E32)</f>
        <v/>
      </c>
      <c r="C10" s="27">
        <f>AVERAGE('By person'!I4:I32)</f>
        <v/>
      </c>
      <c r="D10" s="29">
        <f>AVERAGE('By person'!M4:M32)</f>
        <v/>
      </c>
    </row>
    <row r="11" ht="20" customHeight="1">
      <c r="A11" s="34" t="inlineStr">
        <is>
          <t>Mean, instrumental</t>
        </is>
      </c>
      <c r="B11" s="17">
        <f>AVERAGE('By person'!F4:F32)</f>
        <v/>
      </c>
      <c r="C11" s="19">
        <f>AVERAGE('By person'!J4:J32)</f>
        <v/>
      </c>
      <c r="D11" s="21">
        <f>AVERAGE('By person'!N4:N32)</f>
        <v/>
      </c>
    </row>
    <row r="12" ht="20" customHeight="1">
      <c r="A12" s="35" t="inlineStr">
        <is>
          <t>Difference (lyrics − instrumental)</t>
        </is>
      </c>
      <c r="B12" s="36">
        <f>AVERAGE('By person'!H4:H32)</f>
        <v/>
      </c>
      <c r="C12" s="37">
        <f>AVERAGE('By person'!L4:L32)</f>
        <v/>
      </c>
      <c r="D12" s="38">
        <f>AVERAGE('By person'!P4:P32)</f>
        <v/>
      </c>
    </row>
    <row r="13" ht="20" customHeight="1">
      <c r="A13" s="34" t="inlineStr">
        <is>
          <t>SD of the differences</t>
        </is>
      </c>
      <c r="B13" s="18">
        <f>STDEV.S('By person'!H4:H32)</f>
        <v/>
      </c>
      <c r="C13" s="20">
        <f>STDEV.S('By person'!L4:L32)</f>
        <v/>
      </c>
      <c r="D13" s="21">
        <f>STDEV.S('By person'!P4:P32)</f>
        <v/>
      </c>
    </row>
    <row r="14" ht="20" customHeight="1">
      <c r="A14" s="33" t="inlineStr">
        <is>
          <t>People (n)</t>
        </is>
      </c>
      <c r="B14" s="24">
        <f>COUNT('By person'!H4:H32)</f>
        <v/>
      </c>
      <c r="C14" s="24">
        <f>COUNT('By person'!L4:L32)</f>
        <v/>
      </c>
      <c r="D14" s="24">
        <f>COUNT('By person'!P4:P32)</f>
        <v/>
      </c>
    </row>
    <row r="15" ht="20" customHeight="1">
      <c r="A15" s="34" t="inlineStr">
        <is>
          <t>t</t>
        </is>
      </c>
      <c r="B15" s="21">
        <f>B12/(B13/SQRT(B14))</f>
        <v/>
      </c>
      <c r="C15" s="21">
        <f>C12/(C13/SQRT(C14))</f>
        <v/>
      </c>
      <c r="D15" s="21">
        <f>D12/(D13/SQRT(D14))</f>
        <v/>
      </c>
    </row>
    <row r="16" ht="20" customHeight="1">
      <c r="A16" s="33" t="inlineStr">
        <is>
          <t>df</t>
        </is>
      </c>
      <c r="B16" s="24">
        <f>B14-1</f>
        <v/>
      </c>
      <c r="C16" s="24">
        <f>C14-1</f>
        <v/>
      </c>
      <c r="D16" s="24">
        <f>D14-1</f>
        <v/>
      </c>
    </row>
    <row r="17" ht="20" customHeight="1">
      <c r="A17" s="34" t="inlineStr">
        <is>
          <t>Two-sided p</t>
        </is>
      </c>
      <c r="B17" s="39">
        <f>T.DIST.2T(ABS(B15),B16)</f>
        <v/>
      </c>
      <c r="C17" s="39">
        <f>T.DIST.2T(ABS(C15),C16)</f>
        <v/>
      </c>
      <c r="D17" s="39">
        <f>T.DIST.2T(ABS(D15),D16)</f>
        <v/>
      </c>
    </row>
    <row r="18" ht="20" customHeight="1">
      <c r="A18" s="33" t="inlineStr">
        <is>
          <t>One-sided p, lyrics lower</t>
        </is>
      </c>
      <c r="B18" s="40">
        <f>T.DIST(B15,B16,TRUE)</f>
        <v/>
      </c>
      <c r="C18" s="41" t="inlineStr">
        <is>
          <t>—</t>
        </is>
      </c>
      <c r="D18" s="41" t="inlineStr">
        <is>
          <t>—</t>
        </is>
      </c>
    </row>
    <row r="19" ht="20" customHeight="1">
      <c r="A19" s="34" t="inlineStr">
        <is>
          <t>95% CI, low</t>
        </is>
      </c>
      <c r="B19" s="18">
        <f>B12-T.INV.2T(0.05,B16)*(B13/SQRT(B14))</f>
        <v/>
      </c>
      <c r="C19" s="20">
        <f>C12-T.INV.2T(0.05,C16)*(C13/SQRT(C14))</f>
        <v/>
      </c>
      <c r="D19" s="22">
        <f>D12-T.INV.2T(0.05,D16)*(D13/SQRT(D14))</f>
        <v/>
      </c>
    </row>
    <row r="20" ht="20" customHeight="1">
      <c r="A20" s="33" t="inlineStr">
        <is>
          <t>95% CI, high</t>
        </is>
      </c>
      <c r="B20" s="26">
        <f>B12+T.INV.2T(0.05,B16)*(B13/SQRT(B14))</f>
        <v/>
      </c>
      <c r="C20" s="28">
        <f>C12+T.INV.2T(0.05,C16)*(C13/SQRT(C14))</f>
        <v/>
      </c>
      <c r="D20" s="30">
        <f>D12+T.INV.2T(0.05,D16)*(D13/SQRT(D14))</f>
        <v/>
      </c>
    </row>
    <row r="21" ht="20" customHeight="1">
      <c r="A21" s="34" t="inlineStr">
        <is>
          <t>Cohen's dz</t>
        </is>
      </c>
      <c r="B21" s="21">
        <f>B12/B13</f>
        <v/>
      </c>
      <c r="C21" s="21">
        <f>C12/C13</f>
        <v/>
      </c>
      <c r="D21" s="21">
        <f>D12/D13</f>
        <v/>
      </c>
    </row>
    <row r="22" ht="20" customHeight="1">
      <c r="A22" s="33" t="inlineStr">
        <is>
          <t>Negative differences</t>
        </is>
      </c>
      <c r="B22" s="24">
        <f>COUNTIF('By person'!H4:H32,"&lt;0")</f>
        <v/>
      </c>
      <c r="C22" s="24">
        <f>COUNTIF('By person'!L4:L32,"&lt;0")</f>
        <v/>
      </c>
      <c r="D22" s="24">
        <f>COUNTIF('By person'!P4:P32,"&lt;0")</f>
        <v/>
      </c>
    </row>
    <row r="23" ht="20" customHeight="1">
      <c r="A23" s="34" t="inlineStr">
        <is>
          <t>Positive differences</t>
        </is>
      </c>
      <c r="B23" s="16">
        <f>COUNTIF('By person'!H4:H32,"&gt;0")</f>
        <v/>
      </c>
      <c r="C23" s="16">
        <f>COUNTIF('By person'!L4:L32,"&gt;0")</f>
        <v/>
      </c>
      <c r="D23" s="16">
        <f>COUNTIF('By person'!P4:P32,"&gt;0")</f>
        <v/>
      </c>
    </row>
    <row r="24" ht="20" customHeight="1">
      <c r="A24" s="33" t="inlineStr">
        <is>
          <t>Ties</t>
        </is>
      </c>
      <c r="B24" s="24">
        <f>COUNTIF('By person'!H4:H32,0)</f>
        <v/>
      </c>
      <c r="C24" s="24">
        <f>COUNTIF('By person'!L4:L32,0)</f>
        <v/>
      </c>
      <c r="D24" s="24">
        <f>COUNTIF('By person'!P4:P32,0)</f>
        <v/>
      </c>
    </row>
    <row r="26" ht="22" customHeight="1">
      <c r="A26" s="31" t="inlineStr">
        <is>
          <t>Silence block</t>
        </is>
      </c>
    </row>
    <row r="27">
      <c r="A27" s="42" t="inlineStr">
        <is>
          <t>Eight people with three silence trials: Bommel, Bram, Cas, Fay, Floor, Gerdien, Lotte, Lotte Jr. Joseline's sessions have no silence rows.</t>
        </is>
      </c>
    </row>
    <row r="28">
      <c r="A28" s="1" t="inlineStr">
        <is>
          <t>Contrast</t>
        </is>
      </c>
      <c r="B28" s="1" t="inlineStr">
        <is>
          <t>Mean difference</t>
        </is>
      </c>
      <c r="C28" s="1" t="inlineStr">
        <is>
          <t>t</t>
        </is>
      </c>
      <c r="D28" s="1" t="inlineStr">
        <is>
          <t>df</t>
        </is>
      </c>
      <c r="E28" s="1" t="inlineStr">
        <is>
          <t>Two-sided p</t>
        </is>
      </c>
      <c r="F28" s="1" t="inlineStr">
        <is>
          <t>95% CI low</t>
        </is>
      </c>
      <c r="G28" s="1" t="inlineStr">
        <is>
          <t>95% CI high</t>
        </is>
      </c>
      <c r="H28" s="1" t="inlineStr">
        <is>
          <t>Cohen's dz</t>
        </is>
      </c>
    </row>
    <row r="29" ht="20" customHeight="1">
      <c r="A29" s="34" t="inlineStr">
        <is>
          <t>Accuracy, lyrics − instrumental</t>
        </is>
      </c>
      <c r="B29" s="18">
        <f>AVERAGE('By person'!U4:U32)</f>
        <v/>
      </c>
      <c r="C29" s="21">
        <f>B29/(STDEV.S('By person'!U4:U32)/SQRT(I29))</f>
        <v/>
      </c>
      <c r="D29" s="16">
        <f>I29-1</f>
        <v/>
      </c>
      <c r="E29" s="39">
        <f>T.DIST.2T(ABS(C29),D29)</f>
        <v/>
      </c>
      <c r="F29" s="18">
        <f>B29-T.INV.2T(0.05,D29)*(STDEV.S('By person'!U4:U32)/SQRT(I29))</f>
        <v/>
      </c>
      <c r="G29" s="18">
        <f>B29+T.INV.2T(0.05,D29)*(STDEV.S('By person'!U4:U32)/SQRT(I29))</f>
        <v/>
      </c>
      <c r="H29" s="21">
        <f>B29/STDEV.S('By person'!U4:U32)</f>
        <v/>
      </c>
      <c r="I29" s="16">
        <f>COUNT('By person'!U4:U32)</f>
        <v/>
      </c>
    </row>
    <row r="30" ht="20" customHeight="1">
      <c r="A30" s="33" t="inlineStr">
        <is>
          <t>Accuracy, lyrics − silence</t>
        </is>
      </c>
      <c r="B30" s="26">
        <f>AVERAGE('By person'!Q4:Q32)</f>
        <v/>
      </c>
      <c r="C30" s="29">
        <f>B30/(STDEV.S('By person'!Q4:Q32)/SQRT(I30))</f>
        <v/>
      </c>
      <c r="D30" s="24">
        <f>I30-1</f>
        <v/>
      </c>
      <c r="E30" s="40">
        <f>T.DIST.2T(ABS(C30),D30)</f>
        <v/>
      </c>
      <c r="F30" s="26">
        <f>B30-T.INV.2T(0.05,D30)*(STDEV.S('By person'!Q4:Q32)/SQRT(I30))</f>
        <v/>
      </c>
      <c r="G30" s="26">
        <f>B30+T.INV.2T(0.05,D30)*(STDEV.S('By person'!Q4:Q32)/SQRT(I30))</f>
        <v/>
      </c>
      <c r="H30" s="29">
        <f>B30/STDEV.S('By person'!Q4:Q32)</f>
        <v/>
      </c>
      <c r="I30" s="24">
        <f>COUNT('By person'!Q4:Q32)</f>
        <v/>
      </c>
    </row>
    <row r="31" ht="20" customHeight="1">
      <c r="A31" s="34" t="inlineStr">
        <is>
          <t>Accuracy, instrumental − silence</t>
        </is>
      </c>
      <c r="B31" s="18">
        <f>AVERAGE('By person'!R4:R32)</f>
        <v/>
      </c>
      <c r="C31" s="21">
        <f>B31/(STDEV.S('By person'!R4:R32)/SQRT(I31))</f>
        <v/>
      </c>
      <c r="D31" s="16">
        <f>I31-1</f>
        <v/>
      </c>
      <c r="E31" s="39">
        <f>T.DIST.2T(ABS(C31),D31)</f>
        <v/>
      </c>
      <c r="F31" s="18">
        <f>B31-T.INV.2T(0.05,D31)*(STDEV.S('By person'!R4:R32)/SQRT(I31))</f>
        <v/>
      </c>
      <c r="G31" s="18">
        <f>B31+T.INV.2T(0.05,D31)*(STDEV.S('By person'!R4:R32)/SQRT(I31))</f>
        <v/>
      </c>
      <c r="H31" s="21">
        <f>B31/STDEV.S('By person'!R4:R32)</f>
        <v/>
      </c>
      <c r="I31" s="16">
        <f>COUNT('By person'!R4:R32)</f>
        <v/>
      </c>
    </row>
    <row r="32" ht="20" customHeight="1">
      <c r="A32" s="33" t="inlineStr">
        <is>
          <t>Time (ms), lyrics − instrumental</t>
        </is>
      </c>
      <c r="B32" s="28">
        <f>AVERAGE('By person'!V4:V32)</f>
        <v/>
      </c>
      <c r="C32" s="29">
        <f>B32/(STDEV.S('By person'!V4:V32)/SQRT(I32))</f>
        <v/>
      </c>
      <c r="D32" s="24">
        <f>I32-1</f>
        <v/>
      </c>
      <c r="E32" s="40">
        <f>T.DIST.2T(ABS(C32),D32)</f>
        <v/>
      </c>
      <c r="F32" s="28">
        <f>B32-T.INV.2T(0.05,D32)*(STDEV.S('By person'!V4:V32)/SQRT(I32))</f>
        <v/>
      </c>
      <c r="G32" s="28">
        <f>B32+T.INV.2T(0.05,D32)*(STDEV.S('By person'!V4:V32)/SQRT(I32))</f>
        <v/>
      </c>
      <c r="H32" s="29">
        <f>B32/STDEV.S('By person'!V4:V32)</f>
        <v/>
      </c>
      <c r="I32" s="24">
        <f>COUNT('By person'!V4:V32)</f>
        <v/>
      </c>
    </row>
    <row r="33" ht="20" customHeight="1">
      <c r="A33" s="34" t="inlineStr">
        <is>
          <t>Time (ms), lyrics − silence</t>
        </is>
      </c>
      <c r="B33" s="20">
        <f>AVERAGE('By person'!S4:S32)</f>
        <v/>
      </c>
      <c r="C33" s="21">
        <f>B33/(STDEV.S('By person'!S4:S32)/SQRT(I33))</f>
        <v/>
      </c>
      <c r="D33" s="16">
        <f>I33-1</f>
        <v/>
      </c>
      <c r="E33" s="39">
        <f>T.DIST.2T(ABS(C33),D33)</f>
        <v/>
      </c>
      <c r="F33" s="20">
        <f>B33-T.INV.2T(0.05,D33)*(STDEV.S('By person'!S4:S32)/SQRT(I33))</f>
        <v/>
      </c>
      <c r="G33" s="20">
        <f>B33+T.INV.2T(0.05,D33)*(STDEV.S('By person'!S4:S32)/SQRT(I33))</f>
        <v/>
      </c>
      <c r="H33" s="21">
        <f>B33/STDEV.S('By person'!S4:S32)</f>
        <v/>
      </c>
      <c r="I33" s="16">
        <f>COUNT('By person'!S4:S32)</f>
        <v/>
      </c>
    </row>
    <row r="34" ht="20" customHeight="1">
      <c r="A34" s="33" t="inlineStr">
        <is>
          <t>Time (ms), instrumental − silence</t>
        </is>
      </c>
      <c r="B34" s="28">
        <f>AVERAGE('By person'!T4:T32)</f>
        <v/>
      </c>
      <c r="C34" s="29">
        <f>B34/(STDEV.S('By person'!T4:T32)/SQRT(I34))</f>
        <v/>
      </c>
      <c r="D34" s="24">
        <f>I34-1</f>
        <v/>
      </c>
      <c r="E34" s="40">
        <f>T.DIST.2T(ABS(C34),D34)</f>
        <v/>
      </c>
      <c r="F34" s="28">
        <f>B34-T.INV.2T(0.05,D34)*(STDEV.S('By person'!T4:T32)/SQRT(I34))</f>
        <v/>
      </c>
      <c r="G34" s="28">
        <f>B34+T.INV.2T(0.05,D34)*(STDEV.S('By person'!T4:T32)/SQRT(I34))</f>
        <v/>
      </c>
      <c r="H34" s="29">
        <f>B34/STDEV.S('By person'!T4:T32)</f>
        <v/>
      </c>
      <c r="I34" s="24">
        <f>COUNT('By person'!T4:T32)</f>
        <v/>
      </c>
    </row>
    <row r="36" ht="22" customHeight="1">
      <c r="A36" s="31" t="inlineStr">
        <is>
          <t>How to read this</t>
        </is>
      </c>
    </row>
    <row r="37" ht="28" customHeight="1">
      <c r="A37" s="42" t="inlineStr">
        <is>
          <t>Source is data/combined.csv. One row there is one trial. The person is the name.</t>
        </is>
      </c>
    </row>
    <row r="38" ht="28" customHeight="1">
      <c r="A38" s="42" t="inlineStr">
        <is>
          <t>Each person contributes one number per condition: the mean of that person's scored trials. Someone with 3 trials and someone with 9 trials each count once.</t>
        </is>
      </c>
    </row>
    <row r="39" ht="28" customHeight="1">
      <c r="A39" s="42" t="inlineStr">
        <is>
          <t>A negative accuracy difference means fewer correct sums with lyrics. A positive time difference means slower with lyrics. A positive error difference means farther from the right total.</t>
        </is>
      </c>
    </row>
    <row r="40" ht="28" customHeight="1">
      <c r="A40" s="42" t="inlineStr">
        <is>
          <t>Practice silence, the opening pair of none trials, stays out. Silence stays in only when a person has at least three silence trials.</t>
        </is>
      </c>
    </row>
    <row r="41" ht="28" customHeight="1">
      <c r="A41" s="42" t="inlineStr">
        <is>
          <t>The stored label Lyrics is treated as lyrics. Blank answers count as wrong. Absolute error uses only answers from 8 through 72; other answers still count as wrong for accuracy.</t>
        </is>
      </c>
    </row>
    <row r="42" ht="28" customHeight="1">
      <c r="A42" s="42" t="inlineStr">
        <is>
          <t>The t-test is one-sample on the within-person differences, against 0. df = n − 1. The interval uses T.INV.2T. Cohen's dz is the mean difference divided by the SD of the differences.</t>
        </is>
      </c>
    </row>
    <row r="43" ht="28" customHeight="1">
      <c r="A43" s="42" t="inlineStr">
        <is>
          <t>The one-sided p-value is the lower tail, for the hypothesis that accuracy is lower with lyrics. Response time and absolute error are reported two-sided.</t>
        </is>
      </c>
    </row>
    <row r="44" ht="28" customHeight="1">
      <c r="A44" s="42" t="inlineStr">
        <is>
          <t>aus has 6 instrumental trials. Participant 3 has 12. Five people saw each digit for 1.5 seconds: anne, aus, wouter, Participant 6, Participant 7. Those trials stay in.</t>
        </is>
      </c>
    </row>
    <row r="45" ht="28" customHeight="1">
      <c r="A45" s="42" t="inlineStr">
        <is>
          <t>A Wilcoxon signed-rank test of the same pairs is in data/out/analysis_2.md. This workbook reports the t-test.</t>
        </is>
      </c>
    </row>
  </sheetData>
  <mergeCells count="16">
    <mergeCell ref="A45:H45"/>
    <mergeCell ref="A26:H26"/>
    <mergeCell ref="A8:D8"/>
    <mergeCell ref="A39:H39"/>
    <mergeCell ref="A43:H43"/>
    <mergeCell ref="A4:D4"/>
    <mergeCell ref="A2:H2"/>
    <mergeCell ref="A38:H38"/>
    <mergeCell ref="A42:H42"/>
    <mergeCell ref="A41:H41"/>
    <mergeCell ref="A36:H36"/>
    <mergeCell ref="A44:H44"/>
    <mergeCell ref="A1:H1"/>
    <mergeCell ref="A37:H37"/>
    <mergeCell ref="A27:H27"/>
    <mergeCell ref="A40:H40"/>
  </mergeCells>
  <conditionalFormatting sqref="B17:D17">
    <cfRule type="cellIs" priority="1" operator="lessThan" dxfId="2">
      <formula>0.05</formula>
    </cfRule>
  </conditionalFormatting>
  <pageMargins left="0.55" right="0.55" top="0.6" bottom="0.55" header="0.25" footer="0.25"/>
  <pageSetup orientation="landscape" paperSize="9" fitToHeight="0" fitToWidth="1"/>
  <headerFooter>
    <oddHeader>&amp;LResults</oddHeader>
    <oddFooter>&amp;LSource: data/combined.csv&amp;RPage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1F4E79"/>
    <outlinePr summaryBelow="1" summaryRight="1"/>
    <pageSetUpPr fitToPage="1"/>
  </sheetPr>
  <dimension ref="A1:H48"/>
  <sheetViews>
    <sheetView showGridLines="0" zoomScale="110" workbookViewId="0">
      <pane ySplit="3" topLeftCell="A4" activePane="bottomLeft" state="frozen"/>
      <selection pane="bottomLeft" activeCell="A1" sqref="A1"/>
    </sheetView>
  </sheetViews>
  <sheetFormatPr baseColWidth="8" defaultRowHeight="18"/>
  <cols>
    <col width="22" customWidth="1" min="1" max="1"/>
    <col width="26" customWidth="1" min="2" max="2"/>
    <col width="3" customWidth="1" min="3" max="3"/>
  </cols>
  <sheetData>
    <row r="1" ht="32" customHeight="1">
      <c r="A1" s="11" t="inlineStr">
        <is>
          <t>Accuracy</t>
        </is>
      </c>
      <c r="B1" s="12" t="n"/>
      <c r="C1" s="12" t="n"/>
      <c r="D1" s="12" t="n"/>
      <c r="E1" s="12" t="n"/>
      <c r="F1" s="12" t="n"/>
      <c r="G1" s="12" t="n"/>
      <c r="H1" s="12" t="n"/>
    </row>
    <row r="2" ht="20" customHeight="1">
      <c r="A2" s="13" t="inlineStr">
        <is>
          <t>Proportion correct. The bars are formulas from the By person sheet.</t>
        </is>
      </c>
      <c r="B2" s="14" t="n"/>
      <c r="C2" s="14" t="n"/>
      <c r="D2" s="14" t="n"/>
      <c r="E2" s="14" t="n"/>
      <c r="F2" s="14" t="n"/>
      <c r="G2" s="14" t="n"/>
      <c r="H2" s="14" t="n"/>
    </row>
    <row r="4">
      <c r="A4" s="1" t="inlineStr">
        <is>
          <t>Condition</t>
        </is>
      </c>
      <c r="B4" s="1" t="inlineStr">
        <is>
          <t>Mean proportion correct</t>
        </is>
      </c>
    </row>
    <row r="5" ht="24" customHeight="1">
      <c r="A5" s="15" t="inlineStr">
        <is>
          <t>Lyrics</t>
        </is>
      </c>
      <c r="B5" s="43">
        <f>AVERAGE('By person'!E4:E32)</f>
        <v/>
      </c>
    </row>
    <row r="6" ht="24" customHeight="1">
      <c r="A6" s="23" t="inlineStr">
        <is>
          <t>Instrumental</t>
        </is>
      </c>
      <c r="B6" s="44">
        <f>AVERAGE('By person'!F4:F32)</f>
        <v/>
      </c>
    </row>
    <row r="17" ht="32" customHeight="1">
      <c r="A17" s="45" t="inlineStr">
        <is>
          <t>Sorted from a lower lyrics score toward a higher one. The top of the chart is the largest drop with lyrics. Values update if the trials change; this order is the order at the time the file was built.</t>
        </is>
      </c>
    </row>
    <row r="19">
      <c r="A19" s="1" t="inlineStr">
        <is>
          <t>Person</t>
        </is>
      </c>
      <c r="B19" s="1" t="inlineStr">
        <is>
          <t>Lyrics − instrumental</t>
        </is>
      </c>
    </row>
    <row r="20">
      <c r="A20" s="34" t="inlineStr">
        <is>
          <t>Participant 5</t>
        </is>
      </c>
      <c r="B20" s="18">
        <f>INDEX('By person'!$H$4:$H$32,MATCH(A20,'By person'!$A$4:$A$32,0))</f>
        <v/>
      </c>
    </row>
    <row r="21">
      <c r="A21" s="33" t="inlineStr">
        <is>
          <t>Fay</t>
        </is>
      </c>
      <c r="B21" s="26">
        <f>INDEX('By person'!$H$4:$H$32,MATCH(A21,'By person'!$A$4:$A$32,0))</f>
        <v/>
      </c>
    </row>
    <row r="22">
      <c r="A22" s="34" t="inlineStr">
        <is>
          <t>Floor</t>
        </is>
      </c>
      <c r="B22" s="18">
        <f>INDEX('By person'!$H$4:$H$32,MATCH(A22,'By person'!$A$4:$A$32,0))</f>
        <v/>
      </c>
    </row>
    <row r="23">
      <c r="A23" s="33" t="inlineStr">
        <is>
          <t>Participant 6</t>
        </is>
      </c>
      <c r="B23" s="26">
        <f>INDEX('By person'!$H$4:$H$32,MATCH(A23,'By person'!$A$4:$A$32,0))</f>
        <v/>
      </c>
    </row>
    <row r="24">
      <c r="A24" s="34" t="inlineStr">
        <is>
          <t>wouter</t>
        </is>
      </c>
      <c r="B24" s="18">
        <f>INDEX('By person'!$H$4:$H$32,MATCH(A24,'By person'!$A$4:$A$32,0))</f>
        <v/>
      </c>
    </row>
    <row r="25">
      <c r="A25" s="33" t="inlineStr">
        <is>
          <t>Deelnemer 4</t>
        </is>
      </c>
      <c r="B25" s="26">
        <f>INDEX('By person'!$H$4:$H$32,MATCH(A25,'By person'!$A$4:$A$32,0))</f>
        <v/>
      </c>
    </row>
    <row r="26">
      <c r="A26" s="34" t="inlineStr">
        <is>
          <t>Mila</t>
        </is>
      </c>
      <c r="B26" s="18">
        <f>INDEX('By person'!$H$4:$H$32,MATCH(A26,'By person'!$A$4:$A$32,0))</f>
        <v/>
      </c>
    </row>
    <row r="27">
      <c r="A27" s="33" t="inlineStr">
        <is>
          <t>anne</t>
        </is>
      </c>
      <c r="B27" s="26">
        <f>INDEX('By person'!$H$4:$H$32,MATCH(A27,'By person'!$A$4:$A$32,0))</f>
        <v/>
      </c>
    </row>
    <row r="28">
      <c r="A28" s="34" t="inlineStr">
        <is>
          <t>benjamin</t>
        </is>
      </c>
      <c r="B28" s="18">
        <f>INDEX('By person'!$H$4:$H$32,MATCH(A28,'By person'!$A$4:$A$32,0))</f>
        <v/>
      </c>
    </row>
    <row r="29">
      <c r="A29" s="33" t="inlineStr">
        <is>
          <t>Deelnemer 6</t>
        </is>
      </c>
      <c r="B29" s="26">
        <f>INDEX('By person'!$H$4:$H$32,MATCH(A29,'By person'!$A$4:$A$32,0))</f>
        <v/>
      </c>
    </row>
    <row r="30">
      <c r="A30" s="34" t="inlineStr">
        <is>
          <t>Milo</t>
        </is>
      </c>
      <c r="B30" s="18">
        <f>INDEX('By person'!$H$4:$H$32,MATCH(A30,'By person'!$A$4:$A$32,0))</f>
        <v/>
      </c>
    </row>
    <row r="31">
      <c r="A31" s="33" t="inlineStr">
        <is>
          <t>Participant 4</t>
        </is>
      </c>
      <c r="B31" s="26">
        <f>INDEX('By person'!$H$4:$H$32,MATCH(A31,'By person'!$A$4:$A$32,0))</f>
        <v/>
      </c>
    </row>
    <row r="32">
      <c r="A32" s="34" t="inlineStr">
        <is>
          <t>Participant 3</t>
        </is>
      </c>
      <c r="B32" s="18">
        <f>INDEX('By person'!$H$4:$H$32,MATCH(A32,'By person'!$A$4:$A$32,0))</f>
        <v/>
      </c>
    </row>
    <row r="33">
      <c r="A33" s="33" t="inlineStr">
        <is>
          <t>aus</t>
        </is>
      </c>
      <c r="B33" s="26">
        <f>INDEX('By person'!$H$4:$H$32,MATCH(A33,'By person'!$A$4:$A$32,0))</f>
        <v/>
      </c>
    </row>
    <row r="34">
      <c r="A34" s="34" t="inlineStr">
        <is>
          <t>Bommel</t>
        </is>
      </c>
      <c r="B34" s="18">
        <f>INDEX('By person'!$H$4:$H$32,MATCH(A34,'By person'!$A$4:$A$32,0))</f>
        <v/>
      </c>
    </row>
    <row r="35">
      <c r="A35" s="33" t="inlineStr">
        <is>
          <t>Bram</t>
        </is>
      </c>
      <c r="B35" s="26">
        <f>INDEX('By person'!$H$4:$H$32,MATCH(A35,'By person'!$A$4:$A$32,0))</f>
        <v/>
      </c>
    </row>
    <row r="36">
      <c r="A36" s="34" t="inlineStr">
        <is>
          <t>Cas</t>
        </is>
      </c>
      <c r="B36" s="18">
        <f>INDEX('By person'!$H$4:$H$32,MATCH(A36,'By person'!$A$4:$A$32,0))</f>
        <v/>
      </c>
    </row>
    <row r="37">
      <c r="A37" s="33" t="inlineStr">
        <is>
          <t>Deelnemer 3</t>
        </is>
      </c>
      <c r="B37" s="26">
        <f>INDEX('By person'!$H$4:$H$32,MATCH(A37,'By person'!$A$4:$A$32,0))</f>
        <v/>
      </c>
    </row>
    <row r="38">
      <c r="A38" s="34" t="inlineStr">
        <is>
          <t>Deelnemer 5</t>
        </is>
      </c>
      <c r="B38" s="18">
        <f>INDEX('By person'!$H$4:$H$32,MATCH(A38,'By person'!$A$4:$A$32,0))</f>
        <v/>
      </c>
    </row>
    <row r="39">
      <c r="A39" s="33" t="inlineStr">
        <is>
          <t>Deelnemer 7</t>
        </is>
      </c>
      <c r="B39" s="26">
        <f>INDEX('By person'!$H$4:$H$32,MATCH(A39,'By person'!$A$4:$A$32,0))</f>
        <v/>
      </c>
    </row>
    <row r="40">
      <c r="A40" s="34" t="inlineStr">
        <is>
          <t>Gerdien</t>
        </is>
      </c>
      <c r="B40" s="18">
        <f>INDEX('By person'!$H$4:$H$32,MATCH(A40,'By person'!$A$4:$A$32,0))</f>
        <v/>
      </c>
    </row>
    <row r="41">
      <c r="A41" s="33" t="inlineStr">
        <is>
          <t>joran</t>
        </is>
      </c>
      <c r="B41" s="26">
        <f>INDEX('By person'!$H$4:$H$32,MATCH(A41,'By person'!$A$4:$A$32,0))</f>
        <v/>
      </c>
    </row>
    <row r="42">
      <c r="A42" s="34" t="inlineStr">
        <is>
          <t>Lotte</t>
        </is>
      </c>
      <c r="B42" s="18">
        <f>INDEX('By person'!$H$4:$H$32,MATCH(A42,'By person'!$A$4:$A$32,0))</f>
        <v/>
      </c>
    </row>
    <row r="43">
      <c r="A43" s="33" t="inlineStr">
        <is>
          <t>Lotte Jr</t>
        </is>
      </c>
      <c r="B43" s="26">
        <f>INDEX('By person'!$H$4:$H$32,MATCH(A43,'By person'!$A$4:$A$32,0))</f>
        <v/>
      </c>
    </row>
    <row r="44">
      <c r="A44" s="34" t="inlineStr">
        <is>
          <t>Participant 7</t>
        </is>
      </c>
      <c r="B44" s="18">
        <f>INDEX('By person'!$H$4:$H$32,MATCH(A44,'By person'!$A$4:$A$32,0))</f>
        <v/>
      </c>
    </row>
    <row r="45">
      <c r="A45" s="33" t="inlineStr">
        <is>
          <t>Participant 1</t>
        </is>
      </c>
      <c r="B45" s="26">
        <f>INDEX('By person'!$H$4:$H$32,MATCH(A45,'By person'!$A$4:$A$32,0))</f>
        <v/>
      </c>
    </row>
    <row r="46">
      <c r="A46" s="34" t="inlineStr">
        <is>
          <t>Participant 2</t>
        </is>
      </c>
      <c r="B46" s="18">
        <f>INDEX('By person'!$H$4:$H$32,MATCH(A46,'By person'!$A$4:$A$32,0))</f>
        <v/>
      </c>
    </row>
    <row r="47">
      <c r="A47" s="33" t="inlineStr">
        <is>
          <t>Deelnemer 2</t>
        </is>
      </c>
      <c r="B47" s="26">
        <f>INDEX('By person'!$H$4:$H$32,MATCH(A47,'By person'!$A$4:$A$32,0))</f>
        <v/>
      </c>
    </row>
    <row r="48">
      <c r="A48" s="34" t="inlineStr">
        <is>
          <t>Deelnemer 1</t>
        </is>
      </c>
      <c r="B48" s="18">
        <f>INDEX('By person'!$H$4:$H$32,MATCH(A48,'By person'!$A$4:$A$32,0))</f>
        <v/>
      </c>
    </row>
  </sheetData>
  <mergeCells count="3">
    <mergeCell ref="A2:H2"/>
    <mergeCell ref="A17:B17"/>
    <mergeCell ref="A1:H1"/>
  </mergeCells>
  <conditionalFormatting sqref="B20:B48">
    <cfRule type="cellIs" priority="1" operator="lessThan" dxfId="0">
      <formula>0</formula>
    </cfRule>
    <cfRule type="cellIs" priority="2" operator="greaterThan" dxfId="1">
      <formula>0</formula>
    </cfRule>
  </conditionalFormatting>
  <pageMargins left="0.55" right="0.55" top="0.6" bottom="0.55" header="0.25" footer="0.25"/>
  <pageSetup orientation="landscape" paperSize="9" fitToHeight="0" fitToWidth="1"/>
  <headerFooter>
    <oddHeader/>
    <oddFooter>&amp;LSource: data/combined.csv&amp;RPage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3D7A5A"/>
    <outlinePr summaryBelow="1" summaryRight="1"/>
    <pageSetUpPr fitToPage="1"/>
  </sheetPr>
  <dimension ref="A1:H48"/>
  <sheetViews>
    <sheetView showGridLines="0" zoomScale="110" workbookViewId="0">
      <selection activeCell="A1" sqref="A1"/>
    </sheetView>
  </sheetViews>
  <sheetFormatPr baseColWidth="8" defaultRowHeight="18"/>
  <cols>
    <col width="22" customWidth="1" min="1" max="1"/>
    <col width="30" customWidth="1" min="2" max="2"/>
    <col width="3" customWidth="1" min="3" max="3"/>
  </cols>
  <sheetData>
    <row r="1" ht="32" customHeight="1">
      <c r="A1" s="11" t="inlineStr">
        <is>
          <t>Response time</t>
        </is>
      </c>
      <c r="B1" s="12" t="n"/>
      <c r="C1" s="12" t="n"/>
      <c r="D1" s="12" t="n"/>
      <c r="E1" s="12" t="n"/>
      <c r="F1" s="12" t="n"/>
      <c r="G1" s="12" t="n"/>
      <c r="H1" s="12" t="n"/>
    </row>
    <row r="2" ht="20" customHeight="1">
      <c r="A2" s="13" t="inlineStr">
        <is>
          <t>Mean milliseconds from the moment the answer box appeared. Higher is slower.</t>
        </is>
      </c>
      <c r="B2" s="14" t="n"/>
      <c r="C2" s="14" t="n"/>
      <c r="D2" s="14" t="n"/>
      <c r="E2" s="14" t="n"/>
      <c r="F2" s="14" t="n"/>
      <c r="G2" s="14" t="n"/>
      <c r="H2" s="14" t="n"/>
    </row>
    <row r="4">
      <c r="A4" s="1" t="inlineStr">
        <is>
          <t>Condition</t>
        </is>
      </c>
      <c r="B4" s="1" t="inlineStr">
        <is>
          <t>Mean response time (ms)</t>
        </is>
      </c>
    </row>
    <row r="5" ht="24" customHeight="1">
      <c r="A5" s="15" t="inlineStr">
        <is>
          <t>Lyrics</t>
        </is>
      </c>
      <c r="B5" s="46">
        <f>AVERAGE('By person'!I4:I32)</f>
        <v/>
      </c>
    </row>
    <row r="6" ht="24" customHeight="1">
      <c r="A6" s="23" t="inlineStr">
        <is>
          <t>Instrumental</t>
        </is>
      </c>
      <c r="B6" s="47">
        <f>AVERAGE('By person'!J4:J32)</f>
        <v/>
      </c>
    </row>
    <row r="17" ht="32" customHeight="1">
      <c r="A17" s="45" t="inlineStr">
        <is>
          <t>Sorted from faster with lyrics toward slower with lyrics. The top of the chart is the largest slowdown. Positive means the person took longer with lyrics.</t>
        </is>
      </c>
    </row>
    <row r="19">
      <c r="A19" s="1" t="inlineStr">
        <is>
          <t>Person</t>
        </is>
      </c>
      <c r="B19" s="1" t="inlineStr">
        <is>
          <t>Lyrics − instrumental (ms)</t>
        </is>
      </c>
    </row>
    <row r="20">
      <c r="A20" s="34" t="inlineStr">
        <is>
          <t>Participant 2</t>
        </is>
      </c>
      <c r="B20" s="20">
        <f>INDEX('By person'!$L$4:$L$32,MATCH(A20,'By person'!$A$4:$A$32,0))</f>
        <v/>
      </c>
    </row>
    <row r="21">
      <c r="A21" s="33" t="inlineStr">
        <is>
          <t>Participant 4</t>
        </is>
      </c>
      <c r="B21" s="28">
        <f>INDEX('By person'!$L$4:$L$32,MATCH(A21,'By person'!$A$4:$A$32,0))</f>
        <v/>
      </c>
    </row>
    <row r="22">
      <c r="A22" s="34" t="inlineStr">
        <is>
          <t>Participant 3</t>
        </is>
      </c>
      <c r="B22" s="20">
        <f>INDEX('By person'!$L$4:$L$32,MATCH(A22,'By person'!$A$4:$A$32,0))</f>
        <v/>
      </c>
    </row>
    <row r="23">
      <c r="A23" s="33" t="inlineStr">
        <is>
          <t>joran</t>
        </is>
      </c>
      <c r="B23" s="28">
        <f>INDEX('By person'!$L$4:$L$32,MATCH(A23,'By person'!$A$4:$A$32,0))</f>
        <v/>
      </c>
    </row>
    <row r="24">
      <c r="A24" s="34" t="inlineStr">
        <is>
          <t>benjamin</t>
        </is>
      </c>
      <c r="B24" s="20">
        <f>INDEX('By person'!$L$4:$L$32,MATCH(A24,'By person'!$A$4:$A$32,0))</f>
        <v/>
      </c>
    </row>
    <row r="25">
      <c r="A25" s="33" t="inlineStr">
        <is>
          <t>Deelnemer 5</t>
        </is>
      </c>
      <c r="B25" s="28">
        <f>INDEX('By person'!$L$4:$L$32,MATCH(A25,'By person'!$A$4:$A$32,0))</f>
        <v/>
      </c>
    </row>
    <row r="26">
      <c r="A26" s="34" t="inlineStr">
        <is>
          <t>Deelnemer 1</t>
        </is>
      </c>
      <c r="B26" s="20">
        <f>INDEX('By person'!$L$4:$L$32,MATCH(A26,'By person'!$A$4:$A$32,0))</f>
        <v/>
      </c>
    </row>
    <row r="27">
      <c r="A27" s="33" t="inlineStr">
        <is>
          <t>Participant 6</t>
        </is>
      </c>
      <c r="B27" s="28">
        <f>INDEX('By person'!$L$4:$L$32,MATCH(A27,'By person'!$A$4:$A$32,0))</f>
        <v/>
      </c>
    </row>
    <row r="28">
      <c r="A28" s="34" t="inlineStr">
        <is>
          <t>aus</t>
        </is>
      </c>
      <c r="B28" s="20">
        <f>INDEX('By person'!$L$4:$L$32,MATCH(A28,'By person'!$A$4:$A$32,0))</f>
        <v/>
      </c>
    </row>
    <row r="29">
      <c r="A29" s="33" t="inlineStr">
        <is>
          <t>Participant 1</t>
        </is>
      </c>
      <c r="B29" s="28">
        <f>INDEX('By person'!$L$4:$L$32,MATCH(A29,'By person'!$A$4:$A$32,0))</f>
        <v/>
      </c>
    </row>
    <row r="30">
      <c r="A30" s="34" t="inlineStr">
        <is>
          <t>Participant 7</t>
        </is>
      </c>
      <c r="B30" s="20">
        <f>INDEX('By person'!$L$4:$L$32,MATCH(A30,'By person'!$A$4:$A$32,0))</f>
        <v/>
      </c>
    </row>
    <row r="31">
      <c r="A31" s="33" t="inlineStr">
        <is>
          <t>Gerdien</t>
        </is>
      </c>
      <c r="B31" s="28">
        <f>INDEX('By person'!$L$4:$L$32,MATCH(A31,'By person'!$A$4:$A$32,0))</f>
        <v/>
      </c>
    </row>
    <row r="32">
      <c r="A32" s="34" t="inlineStr">
        <is>
          <t>Participant 5</t>
        </is>
      </c>
      <c r="B32" s="20">
        <f>INDEX('By person'!$L$4:$L$32,MATCH(A32,'By person'!$A$4:$A$32,0))</f>
        <v/>
      </c>
    </row>
    <row r="33">
      <c r="A33" s="33" t="inlineStr">
        <is>
          <t>Bram</t>
        </is>
      </c>
      <c r="B33" s="28">
        <f>INDEX('By person'!$L$4:$L$32,MATCH(A33,'By person'!$A$4:$A$32,0))</f>
        <v/>
      </c>
    </row>
    <row r="34">
      <c r="A34" s="34" t="inlineStr">
        <is>
          <t>wouter</t>
        </is>
      </c>
      <c r="B34" s="20">
        <f>INDEX('By person'!$L$4:$L$32,MATCH(A34,'By person'!$A$4:$A$32,0))</f>
        <v/>
      </c>
    </row>
    <row r="35">
      <c r="A35" s="33" t="inlineStr">
        <is>
          <t>Floor</t>
        </is>
      </c>
      <c r="B35" s="28">
        <f>INDEX('By person'!$L$4:$L$32,MATCH(A35,'By person'!$A$4:$A$32,0))</f>
        <v/>
      </c>
    </row>
    <row r="36">
      <c r="A36" s="34" t="inlineStr">
        <is>
          <t>Bommel</t>
        </is>
      </c>
      <c r="B36" s="20">
        <f>INDEX('By person'!$L$4:$L$32,MATCH(A36,'By person'!$A$4:$A$32,0))</f>
        <v/>
      </c>
    </row>
    <row r="37">
      <c r="A37" s="33" t="inlineStr">
        <is>
          <t>Milo</t>
        </is>
      </c>
      <c r="B37" s="28">
        <f>INDEX('By person'!$L$4:$L$32,MATCH(A37,'By person'!$A$4:$A$32,0))</f>
        <v/>
      </c>
    </row>
    <row r="38">
      <c r="A38" s="34" t="inlineStr">
        <is>
          <t>Deelnemer 2</t>
        </is>
      </c>
      <c r="B38" s="20">
        <f>INDEX('By person'!$L$4:$L$32,MATCH(A38,'By person'!$A$4:$A$32,0))</f>
        <v/>
      </c>
    </row>
    <row r="39">
      <c r="A39" s="33" t="inlineStr">
        <is>
          <t>Fay</t>
        </is>
      </c>
      <c r="B39" s="28">
        <f>INDEX('By person'!$L$4:$L$32,MATCH(A39,'By person'!$A$4:$A$32,0))</f>
        <v/>
      </c>
    </row>
    <row r="40">
      <c r="A40" s="34" t="inlineStr">
        <is>
          <t>Cas</t>
        </is>
      </c>
      <c r="B40" s="20">
        <f>INDEX('By person'!$L$4:$L$32,MATCH(A40,'By person'!$A$4:$A$32,0))</f>
        <v/>
      </c>
    </row>
    <row r="41">
      <c r="A41" s="33" t="inlineStr">
        <is>
          <t>Lotte Jr</t>
        </is>
      </c>
      <c r="B41" s="28">
        <f>INDEX('By person'!$L$4:$L$32,MATCH(A41,'By person'!$A$4:$A$32,0))</f>
        <v/>
      </c>
    </row>
    <row r="42">
      <c r="A42" s="34" t="inlineStr">
        <is>
          <t>Lotte</t>
        </is>
      </c>
      <c r="B42" s="20">
        <f>INDEX('By person'!$L$4:$L$32,MATCH(A42,'By person'!$A$4:$A$32,0))</f>
        <v/>
      </c>
    </row>
    <row r="43">
      <c r="A43" s="33" t="inlineStr">
        <is>
          <t>Deelnemer 4</t>
        </is>
      </c>
      <c r="B43" s="28">
        <f>INDEX('By person'!$L$4:$L$32,MATCH(A43,'By person'!$A$4:$A$32,0))</f>
        <v/>
      </c>
    </row>
    <row r="44">
      <c r="A44" s="34" t="inlineStr">
        <is>
          <t>Deelnemer 3</t>
        </is>
      </c>
      <c r="B44" s="20">
        <f>INDEX('By person'!$L$4:$L$32,MATCH(A44,'By person'!$A$4:$A$32,0))</f>
        <v/>
      </c>
    </row>
    <row r="45">
      <c r="A45" s="33" t="inlineStr">
        <is>
          <t>Deelnemer 7</t>
        </is>
      </c>
      <c r="B45" s="28">
        <f>INDEX('By person'!$L$4:$L$32,MATCH(A45,'By person'!$A$4:$A$32,0))</f>
        <v/>
      </c>
    </row>
    <row r="46">
      <c r="A46" s="34" t="inlineStr">
        <is>
          <t>Mila</t>
        </is>
      </c>
      <c r="B46" s="20">
        <f>INDEX('By person'!$L$4:$L$32,MATCH(A46,'By person'!$A$4:$A$32,0))</f>
        <v/>
      </c>
    </row>
    <row r="47">
      <c r="A47" s="33" t="inlineStr">
        <is>
          <t>Deelnemer 6</t>
        </is>
      </c>
      <c r="B47" s="28">
        <f>INDEX('By person'!$L$4:$L$32,MATCH(A47,'By person'!$A$4:$A$32,0))</f>
        <v/>
      </c>
    </row>
    <row r="48">
      <c r="A48" s="34" t="inlineStr">
        <is>
          <t>anne</t>
        </is>
      </c>
      <c r="B48" s="20">
        <f>INDEX('By person'!$L$4:$L$32,MATCH(A48,'By person'!$A$4:$A$32,0))</f>
        <v/>
      </c>
    </row>
  </sheetData>
  <mergeCells count="3">
    <mergeCell ref="A2:H2"/>
    <mergeCell ref="A17:B17"/>
    <mergeCell ref="A1:H1"/>
  </mergeCells>
  <pageMargins left="0.55" right="0.55" top="0.6" bottom="0.55" header="0.25" footer="0.25"/>
  <pageSetup orientation="landscape" paperSize="9" fitToHeight="0" fitToWidth="1"/>
  <headerFooter>
    <oddHeader/>
    <oddFooter>&amp;LSource: data/combined.csv&amp;RPage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6E767C"/>
    <outlinePr summaryBelow="1" summaryRight="1"/>
    <pageSetUpPr fitToPage="1"/>
  </sheetPr>
  <dimension ref="A1:H9"/>
  <sheetViews>
    <sheetView showGridLines="0" zoomScale="110" workbookViewId="0">
      <selection activeCell="A1" sqref="A1"/>
    </sheetView>
  </sheetViews>
  <sheetFormatPr baseColWidth="8" defaultRowHeight="18"/>
  <cols>
    <col width="18" customWidth="1" min="1" max="1"/>
    <col width="22" customWidth="1" min="2" max="2"/>
    <col width="20" customWidth="1" min="3" max="3"/>
    <col width="3" customWidth="1" min="4" max="4"/>
  </cols>
  <sheetData>
    <row r="1" ht="32" customHeight="1">
      <c r="A1" s="11" t="inlineStr">
        <is>
          <t>Silence, instrumental, and lyrics</t>
        </is>
      </c>
      <c r="B1" s="12" t="n"/>
      <c r="C1" s="12" t="n"/>
      <c r="D1" s="12" t="n"/>
      <c r="E1" s="12" t="n"/>
      <c r="F1" s="12" t="n"/>
      <c r="G1" s="12" t="n"/>
      <c r="H1" s="12" t="n"/>
    </row>
    <row r="2" ht="20" customHeight="1">
      <c r="A2" s="13" t="inlineStr">
        <is>
          <t>The eight people who completed a silence block of three trials. Means are formulas.</t>
        </is>
      </c>
      <c r="B2" s="14" t="n"/>
      <c r="C2" s="14" t="n"/>
      <c r="D2" s="14" t="n"/>
      <c r="E2" s="14" t="n"/>
      <c r="F2" s="14" t="n"/>
      <c r="G2" s="14" t="n"/>
      <c r="H2" s="14" t="n"/>
    </row>
    <row r="4">
      <c r="A4" s="1" t="inlineStr">
        <is>
          <t>Condition</t>
        </is>
      </c>
      <c r="B4" s="1" t="inlineStr">
        <is>
          <t>Proportion correct</t>
        </is>
      </c>
      <c r="C4" s="1" t="inlineStr">
        <is>
          <t>Mean time (ms)</t>
        </is>
      </c>
    </row>
    <row r="5" ht="24" customHeight="1">
      <c r="A5" s="15" t="inlineStr">
        <is>
          <t>Silence</t>
        </is>
      </c>
      <c r="B5" s="43">
        <f>AVERAGEIF('By person'!$D$4:$D$32,"&gt;=3",'By person'!G4:G32)</f>
        <v/>
      </c>
      <c r="C5" s="46">
        <f>AVERAGEIF('By person'!$D$4:$D$32,"&gt;=3",'By person'!K4:K32)</f>
        <v/>
      </c>
    </row>
    <row r="6" ht="24" customHeight="1">
      <c r="A6" s="23" t="inlineStr">
        <is>
          <t>Instrumental</t>
        </is>
      </c>
      <c r="B6" s="44">
        <f>AVERAGEIF('By person'!$D$4:$D$32,"&gt;=3",'By person'!F4:F32)</f>
        <v/>
      </c>
      <c r="C6" s="47">
        <f>AVERAGEIF('By person'!$D$4:$D$32,"&gt;=3",'By person'!J4:J32)</f>
        <v/>
      </c>
    </row>
    <row r="7" ht="24" customHeight="1">
      <c r="A7" s="15" t="inlineStr">
        <is>
          <t>Lyrics</t>
        </is>
      </c>
      <c r="B7" s="43">
        <f>AVERAGEIF('By person'!$D$4:$D$32,"&gt;=3",'By person'!E4:E32)</f>
        <v/>
      </c>
      <c r="C7" s="46">
        <f>AVERAGEIF('By person'!$D$4:$D$32,"&gt;=3",'By person'!I4:I32)</f>
        <v/>
      </c>
    </row>
    <row r="9" ht="32" customHeight="1">
      <c r="A9" s="45" t="inlineStr">
        <is>
          <t>Silence was the most accurate and the fastest in this group of eight. Lyrics were the least accurate and the slowest. The tests for these contrasts are on the Results sheet.</t>
        </is>
      </c>
    </row>
  </sheetData>
  <mergeCells count="3">
    <mergeCell ref="A9:C9"/>
    <mergeCell ref="A2:H2"/>
    <mergeCell ref="A1:H1"/>
  </mergeCells>
  <pageMargins left="0.55" right="0.55" top="0.6" bottom="0.55" header="0.25" footer="0.25"/>
  <pageSetup orientation="landscape" paperSize="9" fitToHeight="0" fitToWidth="1"/>
  <headerFooter>
    <oddHeader/>
    <oddFooter>&amp;LSource: data/combined.csv&amp;RPage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Lyrics versus instrumental</dc:title>
  <dc:subject xmlns:dc="http://purl.org/dc/elements/1.1/">Paired comparisons from combined.csv</dc:subject>
  <dcterms:created xmlns:dcterms="http://purl.org/dc/terms/" xmlns:xsi="http://www.w3.org/2001/XMLSchema-instance" xsi:type="dcterms:W3CDTF">2026-10-18T18:07:59Z</dcterms:created>
  <dcterms:modified xmlns:dcterms="http://purl.org/dc/terms/" xmlns:xsi="http://www.w3.org/2001/XMLSchema-instance" xsi:type="dcterms:W3CDTF">2026-10-18T18:08:00Z</dcterms:modified>
</cp:coreProperties>
</file>